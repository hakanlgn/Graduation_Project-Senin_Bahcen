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GitHub'a Yüklenecek Projeler\YÜKLEMEYE HAZIR\Graduation Design Project\1_Project_Overview\"/>
    </mc:Choice>
  </mc:AlternateContent>
  <xr:revisionPtr revIDLastSave="0" documentId="13_ncr:1_{1556E8D1-AB08-42AF-BC24-40056911A380}" xr6:coauthVersionLast="36" xr6:coauthVersionMax="36" xr10:uidLastSave="{00000000-0000-0000-0000-000000000000}"/>
  <bookViews>
    <workbookView xWindow="0" yWindow="0" windowWidth="23040" windowHeight="9396" activeTab="3" xr2:uid="{00000000-000D-0000-FFFF-FFFF00000000}"/>
  </bookViews>
  <sheets>
    <sheet name="Requirement List" sheetId="2" r:id="rId1"/>
    <sheet name="Need - Metric List" sheetId="5" r:id="rId2"/>
    <sheet name="Need - Metric Matrix" sheetId="7" r:id="rId3"/>
    <sheet name="QFD" sheetId="6" r:id="rId4"/>
  </sheets>
  <calcPr calcId="191029"/>
</workbook>
</file>

<file path=xl/calcChain.xml><?xml version="1.0" encoding="utf-8"?>
<calcChain xmlns="http://schemas.openxmlformats.org/spreadsheetml/2006/main">
  <c r="T17" i="7" l="1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F17" i="2" l="1"/>
  <c r="G15" i="2" s="1"/>
  <c r="G4" i="2" l="1"/>
  <c r="G13" i="2"/>
  <c r="G3" i="2"/>
  <c r="G9" i="2"/>
  <c r="G5" i="2"/>
  <c r="G10" i="2"/>
  <c r="G6" i="2"/>
  <c r="G11" i="2"/>
  <c r="G7" i="2"/>
  <c r="G12" i="2"/>
  <c r="G8" i="2"/>
  <c r="G14" i="2"/>
</calcChain>
</file>

<file path=xl/sharedStrings.xml><?xml version="1.0" encoding="utf-8"?>
<sst xmlns="http://schemas.openxmlformats.org/spreadsheetml/2006/main" count="232" uniqueCount="77">
  <si>
    <t>Customer Requirement</t>
  </si>
  <si>
    <t>Definition / Explanation</t>
  </si>
  <si>
    <t>Source</t>
  </si>
  <si>
    <t>Need for Trust</t>
  </si>
  <si>
    <t>Price Sensitivity</t>
  </si>
  <si>
    <t>Healthy Nutrition</t>
  </si>
  <si>
    <t>Certification</t>
  </si>
  <si>
    <t>Small Producer Support</t>
  </si>
  <si>
    <t>Customized Production</t>
  </si>
  <si>
    <t>Product Diversity</t>
  </si>
  <si>
    <t>Online Accessibility</t>
  </si>
  <si>
    <t>Digital Process Tracking</t>
  </si>
  <si>
    <t>Customer needs to be assured about product authenticity.</t>
  </si>
  <si>
    <t>Customers are concerned about the high cost of organic products.</t>
  </si>
  <si>
    <t>Desire for access to safe, chemical-free and nutritious food.</t>
  </si>
  <si>
    <t>Support for models that empower women and contribute to social good.</t>
  </si>
  <si>
    <t>Demand to observe and verify how products are grown and handled.</t>
  </si>
  <si>
    <t>Preference for products with formal organic or ecological certification.</t>
  </si>
  <si>
    <t>Preference for buying from local or small-scale producers.</t>
  </si>
  <si>
    <t>Interest in selecting specific crops or personalizing produce.</t>
  </si>
  <si>
    <t>Demand for buying directly from the farmer or cooperative.</t>
  </si>
  <si>
    <t>Preference for a variety of fruits and vegetables.</t>
  </si>
  <si>
    <t>Sensitivity to ecological and environmentally friendly practices.</t>
  </si>
  <si>
    <t>Desire to access services via a website or app easily.</t>
  </si>
  <si>
    <t>Interest in monitoring production via digital tools.</t>
  </si>
  <si>
    <t>Survey + Interview</t>
  </si>
  <si>
    <t>Interview</t>
  </si>
  <si>
    <t>Survey</t>
  </si>
  <si>
    <t>Transparency</t>
  </si>
  <si>
    <t>Social Benefit</t>
  </si>
  <si>
    <t>Direct Producer</t>
  </si>
  <si>
    <t>Weighted
Importance</t>
  </si>
  <si>
    <t>Importance
Level</t>
  </si>
  <si>
    <t>On-Site Experience</t>
  </si>
  <si>
    <t>Metric 1</t>
  </si>
  <si>
    <t>Metric 2</t>
  </si>
  <si>
    <t>Seed Diversity</t>
  </si>
  <si>
    <t>Direct Interaction with Farmers</t>
  </si>
  <si>
    <t>Employment of Local Women</t>
  </si>
  <si>
    <t>Environmentally Friendly Production Methods</t>
  </si>
  <si>
    <t>Organic Production Certificate</t>
  </si>
  <si>
    <t>Cooperative Structure</t>
  </si>
  <si>
    <t>Certificate of Analysis</t>
  </si>
  <si>
    <t>Customer Support</t>
  </si>
  <si>
    <t>Process Monitoring</t>
  </si>
  <si>
    <t>Digital Platform Availability</t>
  </si>
  <si>
    <t>Photographic Update</t>
  </si>
  <si>
    <t>Customizable Production Area Option</t>
  </si>
  <si>
    <t>Related Needs</t>
  </si>
  <si>
    <t>Metric
No</t>
  </si>
  <si>
    <t>Requirement
No</t>
  </si>
  <si>
    <t>1,3,6</t>
  </si>
  <si>
    <t>Total Priority</t>
  </si>
  <si>
    <t>Sustainability</t>
  </si>
  <si>
    <t>Drip Irrigation</t>
  </si>
  <si>
    <t>Ancestor Seed Usage</t>
  </si>
  <si>
    <t>●</t>
  </si>
  <si>
    <t>○</t>
  </si>
  <si>
    <t>▲</t>
  </si>
  <si>
    <t>Weighted Relationship Score</t>
  </si>
  <si>
    <t>Design Requirements</t>
  </si>
  <si>
    <t>Customer Requirements</t>
  </si>
  <si>
    <t>Correlations</t>
  </si>
  <si>
    <t>Strong Positive</t>
  </si>
  <si>
    <t>Mid Positive</t>
  </si>
  <si>
    <t>Negative</t>
  </si>
  <si>
    <t>Relationship</t>
  </si>
  <si>
    <t>Weak</t>
  </si>
  <si>
    <t>Strong</t>
  </si>
  <si>
    <t>Medium</t>
  </si>
  <si>
    <t>⊕</t>
  </si>
  <si>
    <t>+</t>
  </si>
  <si>
    <t>-</t>
  </si>
  <si>
    <t xml:space="preserve">                    Importance
                    Level
</t>
  </si>
  <si>
    <t>Price Affordability</t>
  </si>
  <si>
    <t>Metric</t>
  </si>
  <si>
    <t>Conflicts and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</si>
</sst>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  <charset val="162"/>
    </font>
    <font>
      <b/>
      <sz val="18"/>
      <color theme="1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  <font>
      <b/>
      <sz val="12"/>
      <color rgb="FFC00000"/>
      <name val="Calibri"/>
      <family val="2"/>
      <charset val="16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textRotation="90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textRotation="90"/>
    </xf>
    <xf numFmtId="0" fontId="0" fillId="3" borderId="3" xfId="0" applyFont="1" applyFill="1" applyBorder="1" applyAlignment="1">
      <alignment horizontal="center" textRotation="90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textRotation="90" wrapText="1"/>
    </xf>
    <xf numFmtId="0" fontId="10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wrapText="1"/>
    </xf>
    <xf numFmtId="0" fontId="9" fillId="0" borderId="6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F24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657</xdr:colOff>
      <xdr:row>0</xdr:row>
      <xdr:rowOff>141561</xdr:rowOff>
    </xdr:from>
    <xdr:to>
      <xdr:col>21</xdr:col>
      <xdr:colOff>10226</xdr:colOff>
      <xdr:row>15</xdr:row>
      <xdr:rowOff>185057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9157" y="2313261"/>
          <a:ext cx="5595982" cy="2754039"/>
        </a:xfrm>
        <a:prstGeom prst="rect">
          <a:avLst/>
        </a:prstGeom>
      </xdr:spPr>
    </xdr:pic>
    <xdr:clientData/>
  </xdr:twoCellAnchor>
  <xdr:twoCellAnchor>
    <xdr:from>
      <xdr:col>2</xdr:col>
      <xdr:colOff>685800</xdr:colOff>
      <xdr:row>17</xdr:row>
      <xdr:rowOff>2371725</xdr:rowOff>
    </xdr:from>
    <xdr:to>
      <xdr:col>3</xdr:col>
      <xdr:colOff>276225</xdr:colOff>
      <xdr:row>17</xdr:row>
      <xdr:rowOff>2809875</xdr:rowOff>
    </xdr:to>
    <xdr:cxnSp macro="">
      <xdr:nvCxnSpPr>
        <xdr:cNvPr id="42" name="Eğri Bağlayıcı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/>
      </xdr:nvCxnSpPr>
      <xdr:spPr>
        <a:xfrm>
          <a:off x="1905000" y="7686675"/>
          <a:ext cx="1076325" cy="438150"/>
        </a:xfrm>
        <a:prstGeom prst="curvedConnector3">
          <a:avLst>
            <a:gd name="adj1" fmla="val 103982"/>
          </a:avLst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89337</xdr:colOff>
      <xdr:row>4</xdr:row>
      <xdr:rowOff>151086</xdr:rowOff>
    </xdr:from>
    <xdr:to>
      <xdr:col>10</xdr:col>
      <xdr:colOff>241308</xdr:colOff>
      <xdr:row>5</xdr:row>
      <xdr:rowOff>114253</xdr:rowOff>
    </xdr:to>
    <xdr:pic>
      <xdr:nvPicPr>
        <xdr:cNvPr id="49" name="Resim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6703" y="3093983"/>
          <a:ext cx="151971" cy="147098"/>
        </a:xfrm>
        <a:prstGeom prst="rect">
          <a:avLst/>
        </a:prstGeom>
      </xdr:spPr>
    </xdr:pic>
    <xdr:clientData/>
  </xdr:twoCellAnchor>
  <xdr:twoCellAnchor editAs="oneCell">
    <xdr:from>
      <xdr:col>7</xdr:col>
      <xdr:colOff>89339</xdr:colOff>
      <xdr:row>13</xdr:row>
      <xdr:rowOff>152401</xdr:rowOff>
    </xdr:from>
    <xdr:to>
      <xdr:col>7</xdr:col>
      <xdr:colOff>241310</xdr:colOff>
      <xdr:row>14</xdr:row>
      <xdr:rowOff>115569</xdr:rowOff>
    </xdr:to>
    <xdr:pic>
      <xdr:nvPicPr>
        <xdr:cNvPr id="51" name="Resim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9242" y="4750677"/>
          <a:ext cx="151971" cy="147098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8</xdr:row>
      <xdr:rowOff>83754</xdr:rowOff>
    </xdr:from>
    <xdr:to>
      <xdr:col>13</xdr:col>
      <xdr:colOff>247221</xdr:colOff>
      <xdr:row>9</xdr:row>
      <xdr:rowOff>46921</xdr:rowOff>
    </xdr:to>
    <xdr:pic>
      <xdr:nvPicPr>
        <xdr:cNvPr id="52" name="Resim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0078" y="3762375"/>
          <a:ext cx="151971" cy="147098"/>
        </a:xfrm>
        <a:prstGeom prst="rect">
          <a:avLst/>
        </a:prstGeom>
      </xdr:spPr>
    </xdr:pic>
    <xdr:clientData/>
  </xdr:twoCellAnchor>
  <xdr:twoCellAnchor editAs="oneCell">
    <xdr:from>
      <xdr:col>15</xdr:col>
      <xdr:colOff>92765</xdr:colOff>
      <xdr:row>10</xdr:row>
      <xdr:rowOff>46382</xdr:rowOff>
    </xdr:from>
    <xdr:to>
      <xdr:col>15</xdr:col>
      <xdr:colOff>244736</xdr:colOff>
      <xdr:row>11</xdr:row>
      <xdr:rowOff>9548</xdr:rowOff>
    </xdr:to>
    <xdr:pic>
      <xdr:nvPicPr>
        <xdr:cNvPr id="53" name="Resim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4382" y="4128052"/>
          <a:ext cx="151971" cy="148697"/>
        </a:xfrm>
        <a:prstGeom prst="rect">
          <a:avLst/>
        </a:prstGeom>
      </xdr:spPr>
    </xdr:pic>
    <xdr:clientData/>
  </xdr:twoCellAnchor>
  <xdr:twoCellAnchor editAs="oneCell">
    <xdr:from>
      <xdr:col>14</xdr:col>
      <xdr:colOff>258161</xdr:colOff>
      <xdr:row>14</xdr:row>
      <xdr:rowOff>131051</xdr:rowOff>
    </xdr:from>
    <xdr:to>
      <xdr:col>15</xdr:col>
      <xdr:colOff>84311</xdr:colOff>
      <xdr:row>15</xdr:row>
      <xdr:rowOff>94218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8809" y="4913258"/>
          <a:ext cx="151971" cy="147098"/>
        </a:xfrm>
        <a:prstGeom prst="rect">
          <a:avLst/>
        </a:prstGeom>
      </xdr:spPr>
    </xdr:pic>
    <xdr:clientData/>
  </xdr:twoCellAnchor>
  <xdr:twoCellAnchor editAs="oneCell">
    <xdr:from>
      <xdr:col>10</xdr:col>
      <xdr:colOff>283779</xdr:colOff>
      <xdr:row>9</xdr:row>
      <xdr:rowOff>84083</xdr:rowOff>
    </xdr:from>
    <xdr:to>
      <xdr:col>11</xdr:col>
      <xdr:colOff>67488</xdr:colOff>
      <xdr:row>10</xdr:row>
      <xdr:rowOff>15766</xdr:rowOff>
    </xdr:to>
    <xdr:pic>
      <xdr:nvPicPr>
        <xdr:cNvPr id="56" name="Resim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1145" y="3946635"/>
          <a:ext cx="109529" cy="115614"/>
        </a:xfrm>
        <a:prstGeom prst="rect">
          <a:avLst/>
        </a:prstGeom>
      </xdr:spPr>
    </xdr:pic>
    <xdr:clientData/>
  </xdr:twoCellAnchor>
  <xdr:twoCellAnchor editAs="oneCell">
    <xdr:from>
      <xdr:col>11</xdr:col>
      <xdr:colOff>115615</xdr:colOff>
      <xdr:row>8</xdr:row>
      <xdr:rowOff>105104</xdr:rowOff>
    </xdr:from>
    <xdr:to>
      <xdr:col>11</xdr:col>
      <xdr:colOff>225144</xdr:colOff>
      <xdr:row>9</xdr:row>
      <xdr:rowOff>36787</xdr:rowOff>
    </xdr:to>
    <xdr:pic>
      <xdr:nvPicPr>
        <xdr:cNvPr id="57" name="Resim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1" y="3783725"/>
          <a:ext cx="109529" cy="115614"/>
        </a:xfrm>
        <a:prstGeom prst="rect">
          <a:avLst/>
        </a:prstGeom>
      </xdr:spPr>
    </xdr:pic>
    <xdr:clientData/>
  </xdr:twoCellAnchor>
  <xdr:twoCellAnchor editAs="oneCell">
    <xdr:from>
      <xdr:col>16</xdr:col>
      <xdr:colOff>121032</xdr:colOff>
      <xdr:row>10</xdr:row>
      <xdr:rowOff>66675</xdr:rowOff>
    </xdr:from>
    <xdr:to>
      <xdr:col>16</xdr:col>
      <xdr:colOff>233354</xdr:colOff>
      <xdr:row>11</xdr:row>
      <xdr:rowOff>1313</xdr:rowOff>
    </xdr:to>
    <xdr:pic>
      <xdr:nvPicPr>
        <xdr:cNvPr id="58" name="Resim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2882" y="4048125"/>
          <a:ext cx="112322" cy="115614"/>
        </a:xfrm>
        <a:prstGeom prst="rect">
          <a:avLst/>
        </a:prstGeom>
      </xdr:spPr>
    </xdr:pic>
    <xdr:clientData/>
  </xdr:twoCellAnchor>
  <xdr:twoCellAnchor editAs="oneCell">
    <xdr:from>
      <xdr:col>8</xdr:col>
      <xdr:colOff>282302</xdr:colOff>
      <xdr:row>13</xdr:row>
      <xdr:rowOff>4927</xdr:rowOff>
    </xdr:from>
    <xdr:to>
      <xdr:col>9</xdr:col>
      <xdr:colOff>63218</xdr:colOff>
      <xdr:row>13</xdr:row>
      <xdr:rowOff>120541</xdr:rowOff>
    </xdr:to>
    <xdr:pic>
      <xdr:nvPicPr>
        <xdr:cNvPr id="59" name="Resim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35252" y="4529302"/>
          <a:ext cx="109529" cy="115614"/>
        </a:xfrm>
        <a:prstGeom prst="rect">
          <a:avLst/>
        </a:prstGeom>
      </xdr:spPr>
    </xdr:pic>
    <xdr:clientData/>
  </xdr:twoCellAnchor>
  <xdr:twoCellAnchor editAs="oneCell">
    <xdr:from>
      <xdr:col>13</xdr:col>
      <xdr:colOff>282301</xdr:colOff>
      <xdr:row>14</xdr:row>
      <xdr:rowOff>143040</xdr:rowOff>
    </xdr:from>
    <xdr:to>
      <xdr:col>14</xdr:col>
      <xdr:colOff>63218</xdr:colOff>
      <xdr:row>15</xdr:row>
      <xdr:rowOff>77679</xdr:rowOff>
    </xdr:to>
    <xdr:pic>
      <xdr:nvPicPr>
        <xdr:cNvPr id="60" name="Resim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8314" y="4848390"/>
          <a:ext cx="109529" cy="115614"/>
        </a:xfrm>
        <a:prstGeom prst="rect">
          <a:avLst/>
        </a:prstGeom>
      </xdr:spPr>
    </xdr:pic>
    <xdr:clientData/>
  </xdr:twoCellAnchor>
  <xdr:twoCellAnchor editAs="oneCell">
    <xdr:from>
      <xdr:col>8</xdr:col>
      <xdr:colOff>291503</xdr:colOff>
      <xdr:row>9</xdr:row>
      <xdr:rowOff>114300</xdr:rowOff>
    </xdr:from>
    <xdr:to>
      <xdr:col>9</xdr:col>
      <xdr:colOff>67129</xdr:colOff>
      <xdr:row>9</xdr:row>
      <xdr:rowOff>160019</xdr:rowOff>
    </xdr:to>
    <xdr:pic>
      <xdr:nvPicPr>
        <xdr:cNvPr id="62" name="Resim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4844453" y="3914775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4</xdr:col>
      <xdr:colOff>281978</xdr:colOff>
      <xdr:row>14</xdr:row>
      <xdr:rowOff>176212</xdr:rowOff>
    </xdr:from>
    <xdr:to>
      <xdr:col>5</xdr:col>
      <xdr:colOff>57604</xdr:colOff>
      <xdr:row>15</xdr:row>
      <xdr:rowOff>40956</xdr:rowOff>
    </xdr:to>
    <xdr:pic>
      <xdr:nvPicPr>
        <xdr:cNvPr id="63" name="Resim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3520478" y="4881562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11</xdr:col>
      <xdr:colOff>301027</xdr:colOff>
      <xdr:row>4</xdr:row>
      <xdr:rowOff>42862</xdr:rowOff>
    </xdr:from>
    <xdr:to>
      <xdr:col>12</xdr:col>
      <xdr:colOff>76654</xdr:colOff>
      <xdr:row>4</xdr:row>
      <xdr:rowOff>88581</xdr:rowOff>
    </xdr:to>
    <xdr:pic>
      <xdr:nvPicPr>
        <xdr:cNvPr id="64" name="Resim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5839815" y="2938462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7</xdr:col>
      <xdr:colOff>129577</xdr:colOff>
      <xdr:row>12</xdr:row>
      <xdr:rowOff>52387</xdr:rowOff>
    </xdr:from>
    <xdr:to>
      <xdr:col>7</xdr:col>
      <xdr:colOff>233816</xdr:colOff>
      <xdr:row>12</xdr:row>
      <xdr:rowOff>98106</xdr:rowOff>
    </xdr:to>
    <xdr:pic>
      <xdr:nvPicPr>
        <xdr:cNvPr id="65" name="Resim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4353915" y="4395787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2</xdr:row>
      <xdr:rowOff>80962</xdr:rowOff>
    </xdr:from>
    <xdr:to>
      <xdr:col>13</xdr:col>
      <xdr:colOff>80426</xdr:colOff>
      <xdr:row>2</xdr:row>
      <xdr:rowOff>126681</xdr:rowOff>
    </xdr:to>
    <xdr:pic>
      <xdr:nvPicPr>
        <xdr:cNvPr id="67" name="Resim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6172200" y="2614612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9</xdr:col>
      <xdr:colOff>128587</xdr:colOff>
      <xdr:row>8</xdr:row>
      <xdr:rowOff>133350</xdr:rowOff>
    </xdr:from>
    <xdr:to>
      <xdr:col>9</xdr:col>
      <xdr:colOff>232826</xdr:colOff>
      <xdr:row>9</xdr:row>
      <xdr:rowOff>1269</xdr:rowOff>
    </xdr:to>
    <xdr:pic>
      <xdr:nvPicPr>
        <xdr:cNvPr id="68" name="Resim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5010150" y="3752850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10</xdr:col>
      <xdr:colOff>287721</xdr:colOff>
      <xdr:row>6</xdr:row>
      <xdr:rowOff>10346</xdr:rowOff>
    </xdr:from>
    <xdr:to>
      <xdr:col>11</xdr:col>
      <xdr:colOff>63347</xdr:colOff>
      <xdr:row>6</xdr:row>
      <xdr:rowOff>56065</xdr:rowOff>
    </xdr:to>
    <xdr:pic>
      <xdr:nvPicPr>
        <xdr:cNvPr id="69" name="Resim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5497896" y="3267896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7</xdr:col>
      <xdr:colOff>282958</xdr:colOff>
      <xdr:row>9</xdr:row>
      <xdr:rowOff>110358</xdr:rowOff>
    </xdr:from>
    <xdr:to>
      <xdr:col>8</xdr:col>
      <xdr:colOff>58585</xdr:colOff>
      <xdr:row>9</xdr:row>
      <xdr:rowOff>156077</xdr:rowOff>
    </xdr:to>
    <xdr:pic>
      <xdr:nvPicPr>
        <xdr:cNvPr id="70" name="Resim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4507296" y="3910833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15</xdr:col>
      <xdr:colOff>297246</xdr:colOff>
      <xdr:row>7</xdr:row>
      <xdr:rowOff>148458</xdr:rowOff>
    </xdr:from>
    <xdr:to>
      <xdr:col>16</xdr:col>
      <xdr:colOff>72873</xdr:colOff>
      <xdr:row>8</xdr:row>
      <xdr:rowOff>13202</xdr:rowOff>
    </xdr:to>
    <xdr:pic>
      <xdr:nvPicPr>
        <xdr:cNvPr id="71" name="Resim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7150484" y="3586983"/>
          <a:ext cx="104239" cy="457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123826</xdr:colOff>
      <xdr:row>4</xdr:row>
      <xdr:rowOff>173750</xdr:rowOff>
    </xdr:from>
    <xdr:to>
      <xdr:col>13</xdr:col>
      <xdr:colOff>233355</xdr:colOff>
      <xdr:row>5</xdr:row>
      <xdr:rowOff>105433</xdr:rowOff>
    </xdr:to>
    <xdr:pic>
      <xdr:nvPicPr>
        <xdr:cNvPr id="72" name="Resim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9839" y="3069350"/>
          <a:ext cx="109529" cy="112658"/>
        </a:xfrm>
        <a:prstGeom prst="rect">
          <a:avLst/>
        </a:prstGeom>
      </xdr:spPr>
    </xdr:pic>
    <xdr:clientData/>
  </xdr:twoCellAnchor>
  <xdr:twoCellAnchor editAs="oneCell">
    <xdr:from>
      <xdr:col>8</xdr:col>
      <xdr:colOff>82933</xdr:colOff>
      <xdr:row>8</xdr:row>
      <xdr:rowOff>81783</xdr:rowOff>
    </xdr:from>
    <xdr:to>
      <xdr:col>8</xdr:col>
      <xdr:colOff>234904</xdr:colOff>
      <xdr:row>9</xdr:row>
      <xdr:rowOff>44950</xdr:rowOff>
    </xdr:to>
    <xdr:pic>
      <xdr:nvPicPr>
        <xdr:cNvPr id="74" name="Resim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883" y="3701283"/>
          <a:ext cx="151971" cy="14414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135321</xdr:colOff>
      <xdr:row>1</xdr:row>
      <xdr:rowOff>62733</xdr:rowOff>
    </xdr:from>
    <xdr:to>
      <xdr:col>12</xdr:col>
      <xdr:colOff>244850</xdr:colOff>
      <xdr:row>1</xdr:row>
      <xdr:rowOff>175391</xdr:rowOff>
    </xdr:to>
    <xdr:pic>
      <xdr:nvPicPr>
        <xdr:cNvPr id="75" name="Resim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2721" y="2415408"/>
          <a:ext cx="109529" cy="112658"/>
        </a:xfrm>
        <a:prstGeom prst="rect">
          <a:avLst/>
        </a:prstGeom>
      </xdr:spPr>
    </xdr:pic>
    <xdr:clientData/>
  </xdr:twoCellAnchor>
  <xdr:twoCellAnchor editAs="oneCell">
    <xdr:from>
      <xdr:col>12</xdr:col>
      <xdr:colOff>125139</xdr:colOff>
      <xdr:row>12</xdr:row>
      <xdr:rowOff>23978</xdr:rowOff>
    </xdr:from>
    <xdr:to>
      <xdr:col>12</xdr:col>
      <xdr:colOff>234668</xdr:colOff>
      <xdr:row>12</xdr:row>
      <xdr:rowOff>139592</xdr:rowOff>
    </xdr:to>
    <xdr:pic>
      <xdr:nvPicPr>
        <xdr:cNvPr id="76" name="Resim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2539" y="4367378"/>
          <a:ext cx="109529" cy="115614"/>
        </a:xfrm>
        <a:prstGeom prst="rect">
          <a:avLst/>
        </a:prstGeom>
      </xdr:spPr>
    </xdr:pic>
    <xdr:clientData/>
  </xdr:twoCellAnchor>
  <xdr:twoCellAnchor editAs="oneCell">
    <xdr:from>
      <xdr:col>16</xdr:col>
      <xdr:colOff>125794</xdr:colOff>
      <xdr:row>8</xdr:row>
      <xdr:rowOff>90488</xdr:rowOff>
    </xdr:from>
    <xdr:to>
      <xdr:col>16</xdr:col>
      <xdr:colOff>238116</xdr:colOff>
      <xdr:row>9</xdr:row>
      <xdr:rowOff>25127</xdr:rowOff>
    </xdr:to>
    <xdr:pic>
      <xdr:nvPicPr>
        <xdr:cNvPr id="79" name="Resim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7644" y="3709988"/>
          <a:ext cx="112322" cy="115614"/>
        </a:xfrm>
        <a:prstGeom prst="rect">
          <a:avLst/>
        </a:prstGeom>
      </xdr:spPr>
    </xdr:pic>
    <xdr:clientData/>
  </xdr:twoCellAnchor>
  <xdr:twoCellAnchor editAs="oneCell">
    <xdr:from>
      <xdr:col>14</xdr:col>
      <xdr:colOff>125139</xdr:colOff>
      <xdr:row>13</xdr:row>
      <xdr:rowOff>157327</xdr:rowOff>
    </xdr:from>
    <xdr:to>
      <xdr:col>14</xdr:col>
      <xdr:colOff>234668</xdr:colOff>
      <xdr:row>14</xdr:row>
      <xdr:rowOff>91967</xdr:rowOff>
    </xdr:to>
    <xdr:pic>
      <xdr:nvPicPr>
        <xdr:cNvPr id="80" name="Resim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9764" y="4681702"/>
          <a:ext cx="109529" cy="115614"/>
        </a:xfrm>
        <a:prstGeom prst="rect">
          <a:avLst/>
        </a:prstGeom>
      </xdr:spPr>
    </xdr:pic>
    <xdr:clientData/>
  </xdr:twoCellAnchor>
  <xdr:twoCellAnchor editAs="oneCell">
    <xdr:from>
      <xdr:col>17</xdr:col>
      <xdr:colOff>125138</xdr:colOff>
      <xdr:row>12</xdr:row>
      <xdr:rowOff>19215</xdr:rowOff>
    </xdr:from>
    <xdr:to>
      <xdr:col>17</xdr:col>
      <xdr:colOff>234667</xdr:colOff>
      <xdr:row>12</xdr:row>
      <xdr:rowOff>134829</xdr:rowOff>
    </xdr:to>
    <xdr:pic>
      <xdr:nvPicPr>
        <xdr:cNvPr id="81" name="Resim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5601" y="4362615"/>
          <a:ext cx="109529" cy="115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showGridLines="0" zoomScale="90" zoomScaleNormal="90" workbookViewId="0">
      <selection activeCell="C21" sqref="C21"/>
    </sheetView>
  </sheetViews>
  <sheetFormatPr defaultRowHeight="14.4" x14ac:dyDescent="0.3"/>
  <cols>
    <col min="1" max="1" width="5.5546875" customWidth="1"/>
    <col min="2" max="2" width="12.6640625" bestFit="1" customWidth="1"/>
    <col min="3" max="3" width="25.77734375" customWidth="1"/>
    <col min="4" max="4" width="65" bestFit="1" customWidth="1"/>
    <col min="5" max="5" width="17.77734375" customWidth="1"/>
    <col min="6" max="6" width="13.33203125" customWidth="1"/>
    <col min="7" max="7" width="11.21875" bestFit="1" customWidth="1"/>
    <col min="8" max="8" width="41.5546875" bestFit="1" customWidth="1"/>
    <col min="9" max="9" width="34.21875" bestFit="1" customWidth="1"/>
  </cols>
  <sheetData>
    <row r="2" spans="2:9" ht="28.8" x14ac:dyDescent="0.3">
      <c r="B2" s="18" t="s">
        <v>50</v>
      </c>
      <c r="C2" s="19" t="s">
        <v>0</v>
      </c>
      <c r="D2" s="19" t="s">
        <v>1</v>
      </c>
      <c r="E2" s="19" t="s">
        <v>2</v>
      </c>
      <c r="F2" s="20" t="s">
        <v>32</v>
      </c>
      <c r="G2" s="18" t="s">
        <v>31</v>
      </c>
      <c r="H2" s="19" t="s">
        <v>34</v>
      </c>
      <c r="I2" s="19" t="s">
        <v>35</v>
      </c>
    </row>
    <row r="3" spans="2:9" x14ac:dyDescent="0.3">
      <c r="B3" s="3">
        <v>1</v>
      </c>
      <c r="C3" s="1" t="s">
        <v>3</v>
      </c>
      <c r="D3" s="1" t="s">
        <v>12</v>
      </c>
      <c r="E3" s="2" t="s">
        <v>25</v>
      </c>
      <c r="F3" s="2">
        <v>5</v>
      </c>
      <c r="G3" s="4">
        <f t="shared" ref="G3:G15" si="0">F3/$F$17</f>
        <v>9.8039215686274508E-2</v>
      </c>
      <c r="H3" s="1" t="s">
        <v>40</v>
      </c>
      <c r="I3" s="1" t="s">
        <v>33</v>
      </c>
    </row>
    <row r="4" spans="2:9" x14ac:dyDescent="0.3">
      <c r="B4" s="3">
        <v>2</v>
      </c>
      <c r="C4" s="1" t="s">
        <v>4</v>
      </c>
      <c r="D4" s="1" t="s">
        <v>13</v>
      </c>
      <c r="E4" s="2" t="s">
        <v>25</v>
      </c>
      <c r="F4" s="2">
        <v>3</v>
      </c>
      <c r="G4" s="4">
        <f t="shared" si="0"/>
        <v>5.8823529411764705E-2</v>
      </c>
      <c r="H4" s="1" t="s">
        <v>74</v>
      </c>
      <c r="I4" s="1"/>
    </row>
    <row r="5" spans="2:9" x14ac:dyDescent="0.3">
      <c r="B5" s="3">
        <v>3</v>
      </c>
      <c r="C5" s="1" t="s">
        <v>5</v>
      </c>
      <c r="D5" s="1" t="s">
        <v>14</v>
      </c>
      <c r="E5" s="2" t="s">
        <v>25</v>
      </c>
      <c r="F5" s="2">
        <v>4</v>
      </c>
      <c r="G5" s="4">
        <f t="shared" si="0"/>
        <v>7.8431372549019607E-2</v>
      </c>
      <c r="H5" s="1" t="s">
        <v>40</v>
      </c>
      <c r="I5" s="1"/>
    </row>
    <row r="6" spans="2:9" x14ac:dyDescent="0.3">
      <c r="B6" s="3">
        <v>4</v>
      </c>
      <c r="C6" s="1" t="s">
        <v>29</v>
      </c>
      <c r="D6" s="1" t="s">
        <v>15</v>
      </c>
      <c r="E6" s="2" t="s">
        <v>25</v>
      </c>
      <c r="F6" s="2">
        <v>5</v>
      </c>
      <c r="G6" s="4">
        <f t="shared" si="0"/>
        <v>9.8039215686274508E-2</v>
      </c>
      <c r="H6" s="1" t="s">
        <v>41</v>
      </c>
      <c r="I6" s="1" t="s">
        <v>38</v>
      </c>
    </row>
    <row r="7" spans="2:9" x14ac:dyDescent="0.3">
      <c r="B7" s="3">
        <v>5</v>
      </c>
      <c r="C7" s="1" t="s">
        <v>28</v>
      </c>
      <c r="D7" s="1" t="s">
        <v>16</v>
      </c>
      <c r="E7" s="2" t="s">
        <v>25</v>
      </c>
      <c r="F7" s="2">
        <v>5</v>
      </c>
      <c r="G7" s="4">
        <f t="shared" si="0"/>
        <v>9.8039215686274508E-2</v>
      </c>
      <c r="H7" s="1" t="s">
        <v>33</v>
      </c>
      <c r="I7" s="1" t="s">
        <v>46</v>
      </c>
    </row>
    <row r="8" spans="2:9" x14ac:dyDescent="0.3">
      <c r="B8" s="3">
        <v>6</v>
      </c>
      <c r="C8" s="1" t="s">
        <v>6</v>
      </c>
      <c r="D8" s="1" t="s">
        <v>17</v>
      </c>
      <c r="E8" s="2" t="s">
        <v>26</v>
      </c>
      <c r="F8" s="2">
        <v>4</v>
      </c>
      <c r="G8" s="4">
        <f t="shared" si="0"/>
        <v>7.8431372549019607E-2</v>
      </c>
      <c r="H8" s="1" t="s">
        <v>40</v>
      </c>
      <c r="I8" s="1" t="s">
        <v>42</v>
      </c>
    </row>
    <row r="9" spans="2:9" x14ac:dyDescent="0.3">
      <c r="B9" s="3">
        <v>7</v>
      </c>
      <c r="C9" s="1" t="s">
        <v>7</v>
      </c>
      <c r="D9" s="1" t="s">
        <v>18</v>
      </c>
      <c r="E9" s="2" t="s">
        <v>26</v>
      </c>
      <c r="F9" s="2">
        <v>4</v>
      </c>
      <c r="G9" s="4">
        <f t="shared" si="0"/>
        <v>7.8431372549019607E-2</v>
      </c>
      <c r="H9" s="1" t="s">
        <v>38</v>
      </c>
      <c r="I9" s="1"/>
    </row>
    <row r="10" spans="2:9" x14ac:dyDescent="0.3">
      <c r="B10" s="3">
        <v>8</v>
      </c>
      <c r="C10" s="1" t="s">
        <v>8</v>
      </c>
      <c r="D10" s="1" t="s">
        <v>19</v>
      </c>
      <c r="E10" s="2" t="s">
        <v>26</v>
      </c>
      <c r="F10" s="2">
        <v>2</v>
      </c>
      <c r="G10" s="4">
        <f t="shared" si="0"/>
        <v>3.9215686274509803E-2</v>
      </c>
      <c r="H10" s="1" t="s">
        <v>8</v>
      </c>
      <c r="I10" s="1" t="s">
        <v>47</v>
      </c>
    </row>
    <row r="11" spans="2:9" x14ac:dyDescent="0.3">
      <c r="B11" s="3">
        <v>9</v>
      </c>
      <c r="C11" s="1" t="s">
        <v>30</v>
      </c>
      <c r="D11" s="1" t="s">
        <v>20</v>
      </c>
      <c r="E11" s="2" t="s">
        <v>25</v>
      </c>
      <c r="F11" s="2">
        <v>5</v>
      </c>
      <c r="G11" s="4">
        <f t="shared" si="0"/>
        <v>9.8039215686274508E-2</v>
      </c>
      <c r="H11" s="1" t="s">
        <v>37</v>
      </c>
      <c r="I11" s="1"/>
    </row>
    <row r="12" spans="2:9" x14ac:dyDescent="0.3">
      <c r="B12" s="3">
        <v>10</v>
      </c>
      <c r="C12" s="1" t="s">
        <v>9</v>
      </c>
      <c r="D12" s="1" t="s">
        <v>21</v>
      </c>
      <c r="E12" s="2" t="s">
        <v>27</v>
      </c>
      <c r="F12" s="2">
        <v>3</v>
      </c>
      <c r="G12" s="4">
        <f t="shared" si="0"/>
        <v>5.8823529411764705E-2</v>
      </c>
      <c r="H12" s="1" t="s">
        <v>36</v>
      </c>
      <c r="I12" s="1"/>
    </row>
    <row r="13" spans="2:9" x14ac:dyDescent="0.3">
      <c r="B13" s="3">
        <v>11</v>
      </c>
      <c r="C13" s="1" t="s">
        <v>53</v>
      </c>
      <c r="D13" s="1" t="s">
        <v>22</v>
      </c>
      <c r="E13" s="2" t="s">
        <v>25</v>
      </c>
      <c r="F13" s="2">
        <v>4</v>
      </c>
      <c r="G13" s="4">
        <f t="shared" si="0"/>
        <v>7.8431372549019607E-2</v>
      </c>
      <c r="H13" s="1" t="s">
        <v>39</v>
      </c>
      <c r="I13" s="1" t="s">
        <v>54</v>
      </c>
    </row>
    <row r="14" spans="2:9" x14ac:dyDescent="0.3">
      <c r="B14" s="3">
        <v>12</v>
      </c>
      <c r="C14" s="1" t="s">
        <v>10</v>
      </c>
      <c r="D14" s="1" t="s">
        <v>23</v>
      </c>
      <c r="E14" s="2" t="s">
        <v>27</v>
      </c>
      <c r="F14" s="2">
        <v>3</v>
      </c>
      <c r="G14" s="4">
        <f t="shared" si="0"/>
        <v>5.8823529411764705E-2</v>
      </c>
      <c r="H14" s="1" t="s">
        <v>45</v>
      </c>
      <c r="I14" s="1" t="s">
        <v>43</v>
      </c>
    </row>
    <row r="15" spans="2:9" x14ac:dyDescent="0.3">
      <c r="B15" s="3">
        <v>13</v>
      </c>
      <c r="C15" s="1" t="s">
        <v>11</v>
      </c>
      <c r="D15" s="1" t="s">
        <v>24</v>
      </c>
      <c r="E15" s="2" t="s">
        <v>25</v>
      </c>
      <c r="F15" s="2">
        <v>4</v>
      </c>
      <c r="G15" s="4">
        <f t="shared" si="0"/>
        <v>7.8431372549019607E-2</v>
      </c>
      <c r="H15" s="1" t="s">
        <v>44</v>
      </c>
      <c r="I15" s="1" t="s">
        <v>46</v>
      </c>
    </row>
    <row r="17" spans="6:6" x14ac:dyDescent="0.3">
      <c r="F17" s="5">
        <f>SUM(F3:F15)</f>
        <v>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9"/>
  <sheetViews>
    <sheetView showGridLines="0" workbookViewId="0">
      <selection activeCell="G16" sqref="G16"/>
    </sheetView>
  </sheetViews>
  <sheetFormatPr defaultRowHeight="14.4" x14ac:dyDescent="0.3"/>
  <cols>
    <col min="2" max="2" width="6.44140625" bestFit="1" customWidth="1"/>
    <col min="3" max="3" width="38.6640625" bestFit="1" customWidth="1"/>
    <col min="4" max="4" width="13.109375" bestFit="1" customWidth="1"/>
  </cols>
  <sheetData>
    <row r="2" spans="2:4" ht="28.8" x14ac:dyDescent="0.3">
      <c r="B2" s="18" t="s">
        <v>49</v>
      </c>
      <c r="C2" s="19" t="s">
        <v>75</v>
      </c>
      <c r="D2" s="19" t="s">
        <v>48</v>
      </c>
    </row>
    <row r="3" spans="2:4" x14ac:dyDescent="0.3">
      <c r="B3" s="6">
        <v>1</v>
      </c>
      <c r="C3" s="1" t="s">
        <v>40</v>
      </c>
      <c r="D3" s="2" t="s">
        <v>51</v>
      </c>
    </row>
    <row r="4" spans="2:4" x14ac:dyDescent="0.3">
      <c r="B4" s="6">
        <v>2</v>
      </c>
      <c r="C4" s="1" t="s">
        <v>74</v>
      </c>
      <c r="D4" s="2">
        <v>2</v>
      </c>
    </row>
    <row r="5" spans="2:4" x14ac:dyDescent="0.3">
      <c r="B5" s="6">
        <v>3</v>
      </c>
      <c r="C5" s="1" t="s">
        <v>41</v>
      </c>
      <c r="D5" s="2">
        <v>4</v>
      </c>
    </row>
    <row r="6" spans="2:4" x14ac:dyDescent="0.3">
      <c r="B6" s="6">
        <v>4</v>
      </c>
      <c r="C6" s="1" t="s">
        <v>33</v>
      </c>
      <c r="D6" s="2">
        <v>1.5</v>
      </c>
    </row>
    <row r="7" spans="2:4" x14ac:dyDescent="0.3">
      <c r="B7" s="6">
        <v>5</v>
      </c>
      <c r="C7" s="1" t="s">
        <v>38</v>
      </c>
      <c r="D7" s="2">
        <v>4.7</v>
      </c>
    </row>
    <row r="8" spans="2:4" x14ac:dyDescent="0.3">
      <c r="B8" s="6">
        <v>6</v>
      </c>
      <c r="C8" s="1" t="s">
        <v>8</v>
      </c>
      <c r="D8" s="2">
        <v>8</v>
      </c>
    </row>
    <row r="9" spans="2:4" x14ac:dyDescent="0.3">
      <c r="B9" s="6">
        <v>7</v>
      </c>
      <c r="C9" s="1" t="s">
        <v>37</v>
      </c>
      <c r="D9" s="2">
        <v>9</v>
      </c>
    </row>
    <row r="10" spans="2:4" x14ac:dyDescent="0.3">
      <c r="B10" s="6">
        <v>8</v>
      </c>
      <c r="C10" s="1" t="s">
        <v>36</v>
      </c>
      <c r="D10" s="2">
        <v>10</v>
      </c>
    </row>
    <row r="11" spans="2:4" x14ac:dyDescent="0.3">
      <c r="B11" s="6">
        <v>9</v>
      </c>
      <c r="C11" s="1" t="s">
        <v>39</v>
      </c>
      <c r="D11" s="2">
        <v>11</v>
      </c>
    </row>
    <row r="12" spans="2:4" x14ac:dyDescent="0.3">
      <c r="B12" s="6">
        <v>10</v>
      </c>
      <c r="C12" s="1" t="s">
        <v>45</v>
      </c>
      <c r="D12" s="2">
        <v>12.13</v>
      </c>
    </row>
    <row r="13" spans="2:4" x14ac:dyDescent="0.3">
      <c r="B13" s="6">
        <v>11</v>
      </c>
      <c r="C13" s="1" t="s">
        <v>44</v>
      </c>
      <c r="D13" s="2">
        <v>13</v>
      </c>
    </row>
    <row r="14" spans="2:4" x14ac:dyDescent="0.3">
      <c r="B14" s="6">
        <v>12</v>
      </c>
      <c r="C14" s="1" t="s">
        <v>46</v>
      </c>
      <c r="D14" s="2">
        <v>5</v>
      </c>
    </row>
    <row r="15" spans="2:4" x14ac:dyDescent="0.3">
      <c r="B15" s="6">
        <v>13</v>
      </c>
      <c r="C15" s="1" t="s">
        <v>42</v>
      </c>
      <c r="D15" s="2" t="s">
        <v>51</v>
      </c>
    </row>
    <row r="16" spans="2:4" x14ac:dyDescent="0.3">
      <c r="B16" s="6">
        <v>14</v>
      </c>
      <c r="C16" s="1" t="s">
        <v>47</v>
      </c>
      <c r="D16" s="2">
        <v>8</v>
      </c>
    </row>
    <row r="17" spans="2:4" x14ac:dyDescent="0.3">
      <c r="B17" s="6">
        <v>15</v>
      </c>
      <c r="C17" s="1" t="s">
        <v>54</v>
      </c>
      <c r="D17" s="2">
        <v>11</v>
      </c>
    </row>
    <row r="18" spans="2:4" x14ac:dyDescent="0.3">
      <c r="B18" s="6">
        <v>16</v>
      </c>
      <c r="C18" s="1" t="s">
        <v>43</v>
      </c>
      <c r="D18" s="2">
        <v>12</v>
      </c>
    </row>
    <row r="19" spans="2:4" x14ac:dyDescent="0.3">
      <c r="B19" s="6">
        <v>17</v>
      </c>
      <c r="C19" s="1" t="s">
        <v>55</v>
      </c>
      <c r="D19" s="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K17"/>
  <sheetViews>
    <sheetView showGridLines="0" zoomScale="70" zoomScaleNormal="70" workbookViewId="0">
      <selection activeCell="AG3" sqref="AG3"/>
    </sheetView>
  </sheetViews>
  <sheetFormatPr defaultRowHeight="14.4" x14ac:dyDescent="0.3"/>
  <cols>
    <col min="3" max="3" width="22.44140625" bestFit="1" customWidth="1"/>
    <col min="4" max="19" width="4.77734375" style="10" customWidth="1"/>
    <col min="20" max="29" width="4.77734375" customWidth="1"/>
    <col min="37" max="37" width="0" hidden="1" customWidth="1"/>
  </cols>
  <sheetData>
    <row r="2" spans="2:37" ht="19.8" customHeight="1" x14ac:dyDescent="0.3">
      <c r="B2" s="11"/>
      <c r="C2" s="1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</row>
    <row r="3" spans="2:37" ht="225" customHeight="1" x14ac:dyDescent="0.3">
      <c r="B3" s="12"/>
      <c r="C3" s="12"/>
      <c r="D3" s="23" t="s">
        <v>40</v>
      </c>
      <c r="E3" s="23" t="s">
        <v>74</v>
      </c>
      <c r="F3" s="23" t="s">
        <v>41</v>
      </c>
      <c r="G3" s="23" t="s">
        <v>33</v>
      </c>
      <c r="H3" s="23" t="s">
        <v>38</v>
      </c>
      <c r="I3" s="23" t="s">
        <v>8</v>
      </c>
      <c r="J3" s="24" t="s">
        <v>37</v>
      </c>
      <c r="K3" s="24" t="s">
        <v>36</v>
      </c>
      <c r="L3" s="24" t="s">
        <v>39</v>
      </c>
      <c r="M3" s="24" t="s">
        <v>45</v>
      </c>
      <c r="N3" s="24" t="s">
        <v>44</v>
      </c>
      <c r="O3" s="24" t="s">
        <v>46</v>
      </c>
      <c r="P3" s="24" t="s">
        <v>42</v>
      </c>
      <c r="Q3" s="24" t="s">
        <v>47</v>
      </c>
      <c r="R3" s="24" t="s">
        <v>54</v>
      </c>
      <c r="S3" s="24" t="s">
        <v>43</v>
      </c>
      <c r="T3" s="24" t="s">
        <v>55</v>
      </c>
    </row>
    <row r="4" spans="2:37" s="8" customFormat="1" ht="19.95" customHeight="1" x14ac:dyDescent="0.3">
      <c r="B4" s="7">
        <v>1</v>
      </c>
      <c r="C4" s="21" t="s">
        <v>3</v>
      </c>
      <c r="D4" s="2">
        <v>9</v>
      </c>
      <c r="E4" s="2"/>
      <c r="F4" s="2"/>
      <c r="G4" s="2">
        <v>9</v>
      </c>
      <c r="H4" s="2"/>
      <c r="I4" s="2"/>
      <c r="J4" s="2">
        <v>1</v>
      </c>
      <c r="K4" s="2"/>
      <c r="L4" s="2"/>
      <c r="M4" s="2"/>
      <c r="N4" s="2"/>
      <c r="O4" s="2"/>
      <c r="P4" s="2">
        <v>9</v>
      </c>
      <c r="Q4" s="2"/>
      <c r="R4" s="2"/>
      <c r="S4" s="2">
        <v>1</v>
      </c>
      <c r="T4" s="2"/>
      <c r="AK4" s="2">
        <v>5</v>
      </c>
    </row>
    <row r="5" spans="2:37" s="8" customFormat="1" ht="19.95" customHeight="1" x14ac:dyDescent="0.3">
      <c r="B5" s="7">
        <v>2</v>
      </c>
      <c r="C5" s="22" t="s">
        <v>4</v>
      </c>
      <c r="D5" s="2"/>
      <c r="E5" s="2">
        <v>9</v>
      </c>
      <c r="F5" s="2"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AK5" s="2">
        <v>3</v>
      </c>
    </row>
    <row r="6" spans="2:37" s="8" customFormat="1" ht="19.95" customHeight="1" x14ac:dyDescent="0.3">
      <c r="B6" s="7">
        <v>3</v>
      </c>
      <c r="C6" s="21" t="s">
        <v>5</v>
      </c>
      <c r="D6" s="2">
        <v>9</v>
      </c>
      <c r="E6" s="2"/>
      <c r="F6" s="2"/>
      <c r="G6" s="2"/>
      <c r="H6" s="2"/>
      <c r="I6" s="2"/>
      <c r="J6" s="2"/>
      <c r="K6" s="2"/>
      <c r="L6" s="2">
        <v>3</v>
      </c>
      <c r="M6" s="2"/>
      <c r="N6" s="2"/>
      <c r="O6" s="2"/>
      <c r="P6" s="2">
        <v>9</v>
      </c>
      <c r="Q6" s="2"/>
      <c r="R6" s="2"/>
      <c r="S6" s="2"/>
      <c r="T6" s="2">
        <v>3</v>
      </c>
      <c r="AK6" s="2">
        <v>4</v>
      </c>
    </row>
    <row r="7" spans="2:37" s="8" customFormat="1" ht="19.95" customHeight="1" x14ac:dyDescent="0.3">
      <c r="B7" s="7">
        <v>4</v>
      </c>
      <c r="C7" s="21" t="s">
        <v>29</v>
      </c>
      <c r="D7" s="2"/>
      <c r="E7" s="2"/>
      <c r="F7" s="2">
        <v>9</v>
      </c>
      <c r="G7" s="2"/>
      <c r="H7" s="2">
        <v>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AK7" s="2">
        <v>5</v>
      </c>
    </row>
    <row r="8" spans="2:37" s="8" customFormat="1" ht="19.95" customHeight="1" x14ac:dyDescent="0.3">
      <c r="B8" s="7">
        <v>5</v>
      </c>
      <c r="C8" s="21" t="s">
        <v>28</v>
      </c>
      <c r="D8" s="2">
        <v>1</v>
      </c>
      <c r="E8" s="2"/>
      <c r="F8" s="2"/>
      <c r="G8" s="2">
        <v>9</v>
      </c>
      <c r="H8" s="2"/>
      <c r="I8" s="2"/>
      <c r="J8" s="2">
        <v>1</v>
      </c>
      <c r="K8" s="2"/>
      <c r="L8" s="2"/>
      <c r="M8" s="2"/>
      <c r="N8" s="2">
        <v>3</v>
      </c>
      <c r="O8" s="2">
        <v>9</v>
      </c>
      <c r="P8" s="2">
        <v>1</v>
      </c>
      <c r="Q8" s="2"/>
      <c r="R8" s="2"/>
      <c r="S8" s="2"/>
      <c r="T8" s="2"/>
      <c r="AK8" s="2">
        <v>5</v>
      </c>
    </row>
    <row r="9" spans="2:37" s="8" customFormat="1" ht="19.95" customHeight="1" x14ac:dyDescent="0.3">
      <c r="B9" s="7">
        <v>6</v>
      </c>
      <c r="C9" s="21" t="s">
        <v>6</v>
      </c>
      <c r="D9" s="2">
        <v>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9</v>
      </c>
      <c r="Q9" s="2"/>
      <c r="R9" s="2"/>
      <c r="S9" s="2"/>
      <c r="T9" s="2"/>
      <c r="AK9" s="2">
        <v>4</v>
      </c>
    </row>
    <row r="10" spans="2:37" s="8" customFormat="1" ht="19.95" customHeight="1" x14ac:dyDescent="0.3">
      <c r="B10" s="7">
        <v>7</v>
      </c>
      <c r="C10" s="21" t="s">
        <v>7</v>
      </c>
      <c r="D10" s="2"/>
      <c r="E10" s="2"/>
      <c r="F10" s="2">
        <v>3</v>
      </c>
      <c r="G10" s="2"/>
      <c r="H10" s="2">
        <v>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AK10" s="2">
        <v>4</v>
      </c>
    </row>
    <row r="11" spans="2:37" s="8" customFormat="1" ht="19.95" customHeight="1" x14ac:dyDescent="0.3">
      <c r="B11" s="7">
        <v>8</v>
      </c>
      <c r="C11" s="21" t="s">
        <v>8</v>
      </c>
      <c r="D11" s="2"/>
      <c r="E11" s="2"/>
      <c r="F11" s="2"/>
      <c r="G11" s="2"/>
      <c r="H11" s="2"/>
      <c r="I11" s="2">
        <v>9</v>
      </c>
      <c r="J11" s="2"/>
      <c r="K11" s="2">
        <v>1</v>
      </c>
      <c r="L11" s="2"/>
      <c r="M11" s="2"/>
      <c r="N11" s="2"/>
      <c r="O11" s="2"/>
      <c r="P11" s="2"/>
      <c r="Q11" s="2">
        <v>9</v>
      </c>
      <c r="R11" s="2"/>
      <c r="S11" s="2"/>
      <c r="T11" s="2"/>
      <c r="AK11" s="2">
        <v>2</v>
      </c>
    </row>
    <row r="12" spans="2:37" s="8" customFormat="1" ht="19.95" customHeight="1" x14ac:dyDescent="0.3">
      <c r="B12" s="7">
        <v>9</v>
      </c>
      <c r="C12" s="21" t="s">
        <v>30</v>
      </c>
      <c r="D12" s="2"/>
      <c r="E12" s="2"/>
      <c r="F12" s="2"/>
      <c r="G12" s="2">
        <v>1</v>
      </c>
      <c r="H12" s="2"/>
      <c r="I12" s="2"/>
      <c r="J12" s="2">
        <v>9</v>
      </c>
      <c r="K12" s="2"/>
      <c r="L12" s="2"/>
      <c r="M12" s="2"/>
      <c r="N12" s="2"/>
      <c r="O12" s="2"/>
      <c r="P12" s="2"/>
      <c r="Q12" s="2"/>
      <c r="R12" s="2"/>
      <c r="S12" s="2"/>
      <c r="T12" s="2"/>
      <c r="AK12" s="2">
        <v>5</v>
      </c>
    </row>
    <row r="13" spans="2:37" s="8" customFormat="1" ht="19.95" customHeight="1" x14ac:dyDescent="0.3">
      <c r="B13" s="7">
        <v>10</v>
      </c>
      <c r="C13" s="21" t="s">
        <v>9</v>
      </c>
      <c r="D13" s="2"/>
      <c r="E13" s="2"/>
      <c r="F13" s="2"/>
      <c r="G13" s="2"/>
      <c r="H13" s="2"/>
      <c r="I13" s="2">
        <v>1</v>
      </c>
      <c r="J13" s="2"/>
      <c r="K13" s="2">
        <v>9</v>
      </c>
      <c r="L13" s="2"/>
      <c r="M13" s="2"/>
      <c r="N13" s="2"/>
      <c r="O13" s="2"/>
      <c r="P13" s="2"/>
      <c r="Q13" s="2"/>
      <c r="R13" s="2"/>
      <c r="S13" s="2"/>
      <c r="T13" s="2"/>
      <c r="AK13" s="2">
        <v>3</v>
      </c>
    </row>
    <row r="14" spans="2:37" s="8" customFormat="1" ht="19.95" customHeight="1" x14ac:dyDescent="0.3">
      <c r="B14" s="7">
        <v>11</v>
      </c>
      <c r="C14" s="21" t="s">
        <v>53</v>
      </c>
      <c r="D14" s="2">
        <v>3</v>
      </c>
      <c r="E14" s="2"/>
      <c r="F14" s="2"/>
      <c r="G14" s="2"/>
      <c r="H14" s="2"/>
      <c r="I14" s="2"/>
      <c r="J14" s="2"/>
      <c r="K14" s="2"/>
      <c r="L14" s="2">
        <v>9</v>
      </c>
      <c r="M14" s="2"/>
      <c r="N14" s="2"/>
      <c r="O14" s="2"/>
      <c r="P14" s="2"/>
      <c r="Q14" s="2"/>
      <c r="R14" s="2">
        <v>9</v>
      </c>
      <c r="S14" s="2"/>
      <c r="T14" s="2">
        <v>9</v>
      </c>
      <c r="AK14" s="2">
        <v>4</v>
      </c>
    </row>
    <row r="15" spans="2:37" s="8" customFormat="1" ht="19.95" customHeight="1" x14ac:dyDescent="0.3">
      <c r="B15" s="7">
        <v>12</v>
      </c>
      <c r="C15" s="21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>
        <v>9</v>
      </c>
      <c r="N15" s="2">
        <v>3</v>
      </c>
      <c r="O15" s="2">
        <v>3</v>
      </c>
      <c r="P15" s="2"/>
      <c r="Q15" s="2"/>
      <c r="R15" s="2"/>
      <c r="S15" s="2">
        <v>9</v>
      </c>
      <c r="T15" s="2"/>
      <c r="AK15" s="2">
        <v>3</v>
      </c>
    </row>
    <row r="16" spans="2:37" s="8" customFormat="1" ht="19.95" customHeight="1" x14ac:dyDescent="0.3">
      <c r="B16" s="7">
        <v>13</v>
      </c>
      <c r="C16" s="21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>
        <v>9</v>
      </c>
      <c r="N16" s="2">
        <v>9</v>
      </c>
      <c r="O16" s="2">
        <v>3</v>
      </c>
      <c r="P16" s="2"/>
      <c r="Q16" s="2"/>
      <c r="R16" s="2"/>
      <c r="S16" s="2"/>
      <c r="T16" s="2"/>
      <c r="AK16" s="2">
        <v>4</v>
      </c>
    </row>
    <row r="17" spans="2:20" ht="19.95" customHeight="1" x14ac:dyDescent="0.3">
      <c r="B17" s="29" t="s">
        <v>52</v>
      </c>
      <c r="C17" s="30"/>
      <c r="D17" s="2">
        <f t="shared" ref="D17:R17" si="0">SUMPRODUCT(D4:D16,$AK$4:$AK$16)</f>
        <v>134</v>
      </c>
      <c r="E17" s="2">
        <f t="shared" si="0"/>
        <v>27</v>
      </c>
      <c r="F17" s="2">
        <f t="shared" si="0"/>
        <v>60</v>
      </c>
      <c r="G17" s="2">
        <f t="shared" si="0"/>
        <v>95</v>
      </c>
      <c r="H17" s="2">
        <f t="shared" si="0"/>
        <v>81</v>
      </c>
      <c r="I17" s="2">
        <f t="shared" si="0"/>
        <v>21</v>
      </c>
      <c r="J17" s="2">
        <f t="shared" si="0"/>
        <v>55</v>
      </c>
      <c r="K17" s="2">
        <f t="shared" si="0"/>
        <v>29</v>
      </c>
      <c r="L17" s="2">
        <f t="shared" si="0"/>
        <v>48</v>
      </c>
      <c r="M17" s="2">
        <f t="shared" si="0"/>
        <v>63</v>
      </c>
      <c r="N17" s="2">
        <f t="shared" si="0"/>
        <v>60</v>
      </c>
      <c r="O17" s="2">
        <f t="shared" si="0"/>
        <v>66</v>
      </c>
      <c r="P17" s="2">
        <f t="shared" si="0"/>
        <v>122</v>
      </c>
      <c r="Q17" s="2">
        <f t="shared" si="0"/>
        <v>18</v>
      </c>
      <c r="R17" s="2">
        <f t="shared" si="0"/>
        <v>36</v>
      </c>
      <c r="S17" s="2">
        <f t="shared" ref="S17:T17" si="1">SUMPRODUCT(S4:S16,$AK$4:$AK$16)</f>
        <v>32</v>
      </c>
      <c r="T17" s="2">
        <f t="shared" si="1"/>
        <v>48</v>
      </c>
    </row>
  </sheetData>
  <mergeCells count="1">
    <mergeCell ref="B17:C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K32"/>
  <sheetViews>
    <sheetView showGridLines="0" tabSelected="1" zoomScale="70" zoomScaleNormal="70" workbookViewId="0">
      <selection activeCell="AE18" sqref="AE18"/>
    </sheetView>
  </sheetViews>
  <sheetFormatPr defaultRowHeight="14.4" x14ac:dyDescent="0.3"/>
  <cols>
    <col min="3" max="3" width="21.6640625" bestFit="1" customWidth="1"/>
    <col min="4" max="4" width="7.77734375" bestFit="1" customWidth="1"/>
    <col min="5" max="20" width="4.77734375" style="10" customWidth="1"/>
    <col min="21" max="30" width="4.77734375" customWidth="1"/>
    <col min="31" max="31" width="28.33203125" bestFit="1" customWidth="1"/>
    <col min="32" max="32" width="42.33203125" bestFit="1" customWidth="1"/>
    <col min="37" max="37" width="0" hidden="1" customWidth="1"/>
  </cols>
  <sheetData>
    <row r="4" spans="26:32" x14ac:dyDescent="0.3">
      <c r="AE4" s="37" t="s">
        <v>76</v>
      </c>
      <c r="AF4" s="37"/>
    </row>
    <row r="5" spans="26:32" x14ac:dyDescent="0.3">
      <c r="AE5" s="38"/>
      <c r="AF5" s="38"/>
    </row>
    <row r="6" spans="26:32" x14ac:dyDescent="0.3">
      <c r="AE6" s="1" t="s">
        <v>40</v>
      </c>
      <c r="AF6" s="1" t="s">
        <v>74</v>
      </c>
    </row>
    <row r="7" spans="26:32" x14ac:dyDescent="0.3">
      <c r="AE7" s="1" t="s">
        <v>40</v>
      </c>
      <c r="AF7" s="1" t="s">
        <v>36</v>
      </c>
    </row>
    <row r="8" spans="26:32" x14ac:dyDescent="0.3">
      <c r="AE8" s="1" t="s">
        <v>74</v>
      </c>
      <c r="AF8" s="1" t="s">
        <v>8</v>
      </c>
    </row>
    <row r="9" spans="26:32" x14ac:dyDescent="0.3">
      <c r="AE9" s="1" t="s">
        <v>74</v>
      </c>
      <c r="AF9" s="1" t="s">
        <v>39</v>
      </c>
    </row>
    <row r="10" spans="26:32" x14ac:dyDescent="0.3">
      <c r="AE10" s="1" t="s">
        <v>74</v>
      </c>
      <c r="AF10" s="1" t="s">
        <v>45</v>
      </c>
    </row>
    <row r="11" spans="26:32" x14ac:dyDescent="0.3">
      <c r="AE11" s="1" t="s">
        <v>74</v>
      </c>
      <c r="AF11" s="1" t="s">
        <v>42</v>
      </c>
    </row>
    <row r="12" spans="26:32" x14ac:dyDescent="0.3">
      <c r="AE12" s="1" t="s">
        <v>74</v>
      </c>
      <c r="AF12" s="1" t="s">
        <v>54</v>
      </c>
    </row>
    <row r="13" spans="26:32" x14ac:dyDescent="0.3">
      <c r="AE13" s="1" t="s">
        <v>74</v>
      </c>
      <c r="AF13" s="1" t="s">
        <v>55</v>
      </c>
    </row>
    <row r="14" spans="26:32" x14ac:dyDescent="0.3">
      <c r="AE14" s="1" t="s">
        <v>36</v>
      </c>
      <c r="AF14" s="1" t="s">
        <v>55</v>
      </c>
    </row>
    <row r="16" spans="26:32" ht="15.6" x14ac:dyDescent="0.3">
      <c r="Z16" s="28">
        <v>9</v>
      </c>
      <c r="AA16" s="28">
        <v>3</v>
      </c>
      <c r="AB16" s="28">
        <v>1</v>
      </c>
    </row>
    <row r="17" spans="1:37" ht="19.8" customHeight="1" x14ac:dyDescent="0.3">
      <c r="B17" s="11"/>
      <c r="C17" s="12"/>
      <c r="E17" s="25">
        <v>1</v>
      </c>
      <c r="F17" s="25">
        <v>2</v>
      </c>
      <c r="G17" s="25">
        <v>3</v>
      </c>
      <c r="H17" s="25">
        <v>4</v>
      </c>
      <c r="I17" s="25">
        <v>5</v>
      </c>
      <c r="J17" s="25">
        <v>6</v>
      </c>
      <c r="K17" s="25">
        <v>7</v>
      </c>
      <c r="L17" s="25">
        <v>8</v>
      </c>
      <c r="M17" s="25">
        <v>9</v>
      </c>
      <c r="N17" s="25">
        <v>10</v>
      </c>
      <c r="O17" s="25">
        <v>11</v>
      </c>
      <c r="P17" s="25">
        <v>12</v>
      </c>
      <c r="Q17" s="25">
        <v>13</v>
      </c>
      <c r="R17" s="25">
        <v>14</v>
      </c>
      <c r="S17" s="25">
        <v>15</v>
      </c>
      <c r="T17" s="25">
        <v>16</v>
      </c>
      <c r="U17" s="25">
        <v>17</v>
      </c>
      <c r="Z17" s="17" t="s">
        <v>56</v>
      </c>
      <c r="AA17" s="17" t="s">
        <v>57</v>
      </c>
      <c r="AB17" s="9" t="s">
        <v>58</v>
      </c>
    </row>
    <row r="18" spans="1:37" ht="225" customHeight="1" x14ac:dyDescent="0.3">
      <c r="B18" s="34" t="s">
        <v>73</v>
      </c>
      <c r="C18" s="35"/>
      <c r="D18" s="27" t="s">
        <v>60</v>
      </c>
      <c r="E18" s="23" t="s">
        <v>40</v>
      </c>
      <c r="F18" s="23" t="s">
        <v>74</v>
      </c>
      <c r="G18" s="23" t="s">
        <v>41</v>
      </c>
      <c r="H18" s="23" t="s">
        <v>33</v>
      </c>
      <c r="I18" s="23" t="s">
        <v>38</v>
      </c>
      <c r="J18" s="23" t="s">
        <v>8</v>
      </c>
      <c r="K18" s="24" t="s">
        <v>37</v>
      </c>
      <c r="L18" s="24" t="s">
        <v>36</v>
      </c>
      <c r="M18" s="24" t="s">
        <v>39</v>
      </c>
      <c r="N18" s="24" t="s">
        <v>45</v>
      </c>
      <c r="O18" s="24" t="s">
        <v>44</v>
      </c>
      <c r="P18" s="24" t="s">
        <v>46</v>
      </c>
      <c r="Q18" s="24" t="s">
        <v>42</v>
      </c>
      <c r="R18" s="24" t="s">
        <v>47</v>
      </c>
      <c r="S18" s="24" t="s">
        <v>54</v>
      </c>
      <c r="T18" s="24" t="s">
        <v>43</v>
      </c>
      <c r="U18" s="24" t="s">
        <v>55</v>
      </c>
    </row>
    <row r="19" spans="1:37" s="8" customFormat="1" ht="19.95" customHeight="1" x14ac:dyDescent="0.3">
      <c r="A19" s="39" t="s">
        <v>61</v>
      </c>
      <c r="B19" s="26">
        <v>1</v>
      </c>
      <c r="C19" s="21" t="s">
        <v>3</v>
      </c>
      <c r="D19" s="16">
        <v>5</v>
      </c>
      <c r="E19" s="14" t="s">
        <v>56</v>
      </c>
      <c r="F19" s="14"/>
      <c r="G19" s="14"/>
      <c r="H19" s="14" t="s">
        <v>56</v>
      </c>
      <c r="I19" s="14"/>
      <c r="J19" s="14"/>
      <c r="K19" s="14" t="s">
        <v>58</v>
      </c>
      <c r="L19" s="14"/>
      <c r="M19" s="14"/>
      <c r="N19" s="14"/>
      <c r="O19" s="14"/>
      <c r="P19" s="14"/>
      <c r="Q19" s="14" t="s">
        <v>56</v>
      </c>
      <c r="R19" s="14"/>
      <c r="S19" s="14"/>
      <c r="T19" s="14" t="s">
        <v>58</v>
      </c>
      <c r="U19" s="14"/>
      <c r="Y19" s="40" t="s">
        <v>62</v>
      </c>
      <c r="Z19" s="40"/>
      <c r="AA19" s="40"/>
      <c r="AB19" s="40"/>
      <c r="AC19" s="40"/>
      <c r="AK19" s="2">
        <v>5</v>
      </c>
    </row>
    <row r="20" spans="1:37" s="8" customFormat="1" ht="19.95" customHeight="1" x14ac:dyDescent="0.3">
      <c r="A20" s="39"/>
      <c r="B20" s="26">
        <v>2</v>
      </c>
      <c r="C20" s="22" t="s">
        <v>4</v>
      </c>
      <c r="D20" s="16">
        <v>3</v>
      </c>
      <c r="E20" s="14"/>
      <c r="F20" s="14" t="s">
        <v>56</v>
      </c>
      <c r="G20" s="14" t="s">
        <v>58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Y20" s="13" t="s">
        <v>70</v>
      </c>
      <c r="Z20" s="36" t="s">
        <v>63</v>
      </c>
      <c r="AA20" s="36"/>
      <c r="AB20" s="36"/>
      <c r="AC20" s="36"/>
      <c r="AK20" s="2">
        <v>3</v>
      </c>
    </row>
    <row r="21" spans="1:37" s="8" customFormat="1" ht="19.95" customHeight="1" x14ac:dyDescent="0.3">
      <c r="A21" s="39"/>
      <c r="B21" s="26">
        <v>3</v>
      </c>
      <c r="C21" s="21" t="s">
        <v>5</v>
      </c>
      <c r="D21" s="16">
        <v>4</v>
      </c>
      <c r="E21" s="14" t="s">
        <v>56</v>
      </c>
      <c r="F21" s="14"/>
      <c r="G21" s="14"/>
      <c r="H21" s="14"/>
      <c r="I21" s="14"/>
      <c r="J21" s="14"/>
      <c r="K21" s="14"/>
      <c r="L21" s="14"/>
      <c r="M21" s="14" t="s">
        <v>57</v>
      </c>
      <c r="N21" s="14"/>
      <c r="O21" s="14"/>
      <c r="P21" s="14"/>
      <c r="Q21" s="14" t="s">
        <v>56</v>
      </c>
      <c r="R21" s="14"/>
      <c r="S21" s="14"/>
      <c r="T21" s="14"/>
      <c r="U21" s="14" t="s">
        <v>57</v>
      </c>
      <c r="Y21" s="15" t="s">
        <v>71</v>
      </c>
      <c r="Z21" s="36" t="s">
        <v>64</v>
      </c>
      <c r="AA21" s="36"/>
      <c r="AB21" s="36"/>
      <c r="AC21" s="36"/>
      <c r="AK21" s="2">
        <v>4</v>
      </c>
    </row>
    <row r="22" spans="1:37" s="8" customFormat="1" ht="19.95" customHeight="1" x14ac:dyDescent="0.3">
      <c r="A22" s="39"/>
      <c r="B22" s="26">
        <v>4</v>
      </c>
      <c r="C22" s="21" t="s">
        <v>29</v>
      </c>
      <c r="D22" s="16">
        <v>5</v>
      </c>
      <c r="E22" s="14"/>
      <c r="F22" s="14"/>
      <c r="G22" s="14" t="s">
        <v>56</v>
      </c>
      <c r="H22" s="14"/>
      <c r="I22" s="14" t="s">
        <v>56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Y22" s="15" t="s">
        <v>72</v>
      </c>
      <c r="Z22" s="36" t="s">
        <v>65</v>
      </c>
      <c r="AA22" s="36"/>
      <c r="AB22" s="36"/>
      <c r="AC22" s="36"/>
      <c r="AK22" s="2">
        <v>5</v>
      </c>
    </row>
    <row r="23" spans="1:37" s="8" customFormat="1" ht="19.95" customHeight="1" x14ac:dyDescent="0.3">
      <c r="A23" s="39"/>
      <c r="B23" s="26">
        <v>5</v>
      </c>
      <c r="C23" s="21" t="s">
        <v>28</v>
      </c>
      <c r="D23" s="16">
        <v>5</v>
      </c>
      <c r="E23" s="14" t="s">
        <v>58</v>
      </c>
      <c r="F23" s="14"/>
      <c r="G23" s="14"/>
      <c r="H23" s="14" t="s">
        <v>56</v>
      </c>
      <c r="I23" s="14"/>
      <c r="J23" s="14"/>
      <c r="K23" s="14" t="s">
        <v>58</v>
      </c>
      <c r="L23" s="14"/>
      <c r="M23" s="14"/>
      <c r="N23" s="14"/>
      <c r="O23" s="14" t="s">
        <v>57</v>
      </c>
      <c r="P23" s="14" t="s">
        <v>56</v>
      </c>
      <c r="Q23" s="14" t="s">
        <v>58</v>
      </c>
      <c r="R23" s="14"/>
      <c r="S23" s="14"/>
      <c r="T23" s="14"/>
      <c r="U23" s="14"/>
      <c r="AK23" s="2">
        <v>5</v>
      </c>
    </row>
    <row r="24" spans="1:37" s="8" customFormat="1" ht="19.95" customHeight="1" x14ac:dyDescent="0.3">
      <c r="A24" s="39"/>
      <c r="B24" s="26">
        <v>6</v>
      </c>
      <c r="C24" s="21" t="s">
        <v>6</v>
      </c>
      <c r="D24" s="16">
        <v>4</v>
      </c>
      <c r="E24" s="14" t="s">
        <v>56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 t="s">
        <v>56</v>
      </c>
      <c r="R24" s="14"/>
      <c r="S24" s="14"/>
      <c r="T24" s="14"/>
      <c r="U24" s="14"/>
      <c r="Y24" s="40" t="s">
        <v>66</v>
      </c>
      <c r="Z24" s="40"/>
      <c r="AA24" s="40"/>
      <c r="AB24" s="40"/>
      <c r="AC24" s="40"/>
      <c r="AK24" s="2">
        <v>4</v>
      </c>
    </row>
    <row r="25" spans="1:37" s="8" customFormat="1" ht="19.95" customHeight="1" x14ac:dyDescent="0.3">
      <c r="A25" s="39"/>
      <c r="B25" s="26">
        <v>7</v>
      </c>
      <c r="C25" s="21" t="s">
        <v>7</v>
      </c>
      <c r="D25" s="16">
        <v>4</v>
      </c>
      <c r="E25" s="14"/>
      <c r="F25" s="14"/>
      <c r="G25" s="14" t="s">
        <v>57</v>
      </c>
      <c r="H25" s="14"/>
      <c r="I25" s="14" t="s">
        <v>56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Y25" s="14" t="s">
        <v>56</v>
      </c>
      <c r="Z25" s="36" t="s">
        <v>68</v>
      </c>
      <c r="AA25" s="36"/>
      <c r="AB25" s="36"/>
      <c r="AC25" s="36"/>
      <c r="AK25" s="2">
        <v>4</v>
      </c>
    </row>
    <row r="26" spans="1:37" s="8" customFormat="1" ht="19.95" customHeight="1" x14ac:dyDescent="0.3">
      <c r="A26" s="39"/>
      <c r="B26" s="26">
        <v>8</v>
      </c>
      <c r="C26" s="21" t="s">
        <v>8</v>
      </c>
      <c r="D26" s="16">
        <v>2</v>
      </c>
      <c r="E26" s="14"/>
      <c r="F26" s="14"/>
      <c r="G26" s="14"/>
      <c r="H26" s="14"/>
      <c r="I26" s="14"/>
      <c r="J26" s="14" t="s">
        <v>56</v>
      </c>
      <c r="K26" s="14"/>
      <c r="L26" s="14" t="s">
        <v>58</v>
      </c>
      <c r="M26" s="14"/>
      <c r="N26" s="14"/>
      <c r="O26" s="14"/>
      <c r="P26" s="14"/>
      <c r="Q26" s="14"/>
      <c r="R26" s="14" t="s">
        <v>56</v>
      </c>
      <c r="S26" s="14"/>
      <c r="T26" s="14"/>
      <c r="U26" s="14"/>
      <c r="Y26" s="14" t="s">
        <v>57</v>
      </c>
      <c r="Z26" s="36" t="s">
        <v>69</v>
      </c>
      <c r="AA26" s="36"/>
      <c r="AB26" s="36"/>
      <c r="AC26" s="36"/>
      <c r="AK26" s="2">
        <v>2</v>
      </c>
    </row>
    <row r="27" spans="1:37" s="8" customFormat="1" ht="19.95" customHeight="1" x14ac:dyDescent="0.3">
      <c r="A27" s="39"/>
      <c r="B27" s="26">
        <v>9</v>
      </c>
      <c r="C27" s="21" t="s">
        <v>30</v>
      </c>
      <c r="D27" s="16">
        <v>5</v>
      </c>
      <c r="E27" s="14"/>
      <c r="F27" s="14"/>
      <c r="G27" s="14"/>
      <c r="H27" s="14" t="s">
        <v>58</v>
      </c>
      <c r="I27" s="14"/>
      <c r="J27" s="14"/>
      <c r="K27" s="14" t="s">
        <v>56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Y27" s="14" t="s">
        <v>58</v>
      </c>
      <c r="Z27" s="36" t="s">
        <v>67</v>
      </c>
      <c r="AA27" s="36"/>
      <c r="AB27" s="36"/>
      <c r="AC27" s="36"/>
      <c r="AK27" s="2">
        <v>5</v>
      </c>
    </row>
    <row r="28" spans="1:37" s="8" customFormat="1" ht="19.95" customHeight="1" x14ac:dyDescent="0.3">
      <c r="A28" s="39"/>
      <c r="B28" s="26">
        <v>10</v>
      </c>
      <c r="C28" s="21" t="s">
        <v>9</v>
      </c>
      <c r="D28" s="16">
        <v>3</v>
      </c>
      <c r="E28" s="14"/>
      <c r="F28" s="14"/>
      <c r="G28" s="14"/>
      <c r="H28" s="14"/>
      <c r="I28" s="14"/>
      <c r="J28" s="14" t="s">
        <v>58</v>
      </c>
      <c r="K28" s="14"/>
      <c r="L28" s="14" t="s">
        <v>56</v>
      </c>
      <c r="M28" s="14"/>
      <c r="N28" s="14"/>
      <c r="O28" s="14"/>
      <c r="P28" s="14"/>
      <c r="Q28" s="14"/>
      <c r="R28" s="14"/>
      <c r="S28" s="14"/>
      <c r="T28" s="14"/>
      <c r="U28" s="14"/>
      <c r="Y28"/>
      <c r="Z28"/>
      <c r="AA28"/>
      <c r="AB28"/>
      <c r="AC28"/>
      <c r="AD28"/>
      <c r="AK28" s="2">
        <v>3</v>
      </c>
    </row>
    <row r="29" spans="1:37" s="8" customFormat="1" ht="19.95" customHeight="1" x14ac:dyDescent="0.3">
      <c r="A29" s="39"/>
      <c r="B29" s="26">
        <v>11</v>
      </c>
      <c r="C29" s="21" t="s">
        <v>53</v>
      </c>
      <c r="D29" s="16">
        <v>4</v>
      </c>
      <c r="E29" s="14" t="s">
        <v>57</v>
      </c>
      <c r="F29" s="14"/>
      <c r="G29" s="14"/>
      <c r="H29" s="14"/>
      <c r="I29" s="14"/>
      <c r="J29" s="14"/>
      <c r="K29" s="14"/>
      <c r="L29" s="14"/>
      <c r="M29" s="14" t="s">
        <v>56</v>
      </c>
      <c r="N29" s="14"/>
      <c r="O29" s="14"/>
      <c r="P29" s="14"/>
      <c r="Q29" s="14"/>
      <c r="R29" s="14"/>
      <c r="S29" s="14" t="s">
        <v>56</v>
      </c>
      <c r="T29" s="14"/>
      <c r="U29" s="14" t="s">
        <v>56</v>
      </c>
      <c r="AK29" s="2">
        <v>4</v>
      </c>
    </row>
    <row r="30" spans="1:37" s="8" customFormat="1" ht="19.95" customHeight="1" x14ac:dyDescent="0.3">
      <c r="A30" s="39"/>
      <c r="B30" s="26">
        <v>12</v>
      </c>
      <c r="C30" s="21" t="s">
        <v>10</v>
      </c>
      <c r="D30" s="16">
        <v>3</v>
      </c>
      <c r="E30" s="14"/>
      <c r="F30" s="14"/>
      <c r="G30" s="14"/>
      <c r="H30" s="14"/>
      <c r="I30" s="14"/>
      <c r="J30" s="14"/>
      <c r="K30" s="14"/>
      <c r="L30" s="14"/>
      <c r="M30" s="14"/>
      <c r="N30" s="14" t="s">
        <v>56</v>
      </c>
      <c r="O30" s="14" t="s">
        <v>57</v>
      </c>
      <c r="P30" s="14" t="s">
        <v>57</v>
      </c>
      <c r="Q30" s="14"/>
      <c r="R30" s="14"/>
      <c r="S30" s="14"/>
      <c r="T30" s="14" t="s">
        <v>56</v>
      </c>
      <c r="U30" s="14"/>
      <c r="AK30" s="2">
        <v>3</v>
      </c>
    </row>
    <row r="31" spans="1:37" s="8" customFormat="1" ht="19.95" customHeight="1" x14ac:dyDescent="0.3">
      <c r="A31" s="39"/>
      <c r="B31" s="26">
        <v>13</v>
      </c>
      <c r="C31" s="21" t="s">
        <v>11</v>
      </c>
      <c r="D31" s="16">
        <v>4</v>
      </c>
      <c r="E31" s="14"/>
      <c r="F31" s="14"/>
      <c r="G31" s="14"/>
      <c r="H31" s="14"/>
      <c r="I31" s="14"/>
      <c r="J31" s="14"/>
      <c r="K31" s="14"/>
      <c r="L31" s="14"/>
      <c r="M31" s="14"/>
      <c r="N31" s="14" t="s">
        <v>56</v>
      </c>
      <c r="O31" s="14" t="s">
        <v>56</v>
      </c>
      <c r="P31" s="14" t="s">
        <v>57</v>
      </c>
      <c r="Q31" s="14"/>
      <c r="R31" s="14"/>
      <c r="S31" s="14"/>
      <c r="T31" s="14"/>
      <c r="U31" s="14"/>
      <c r="AK31" s="2">
        <v>4</v>
      </c>
    </row>
    <row r="32" spans="1:37" ht="19.95" customHeight="1" x14ac:dyDescent="0.3">
      <c r="B32" s="31" t="s">
        <v>59</v>
      </c>
      <c r="C32" s="32"/>
      <c r="D32" s="33"/>
      <c r="E32" s="25">
        <v>134</v>
      </c>
      <c r="F32" s="25">
        <v>27</v>
      </c>
      <c r="G32" s="25">
        <v>60</v>
      </c>
      <c r="H32" s="25">
        <v>95</v>
      </c>
      <c r="I32" s="25">
        <v>81</v>
      </c>
      <c r="J32" s="25">
        <v>21</v>
      </c>
      <c r="K32" s="25">
        <v>55</v>
      </c>
      <c r="L32" s="25">
        <v>29</v>
      </c>
      <c r="M32" s="25">
        <v>48</v>
      </c>
      <c r="N32" s="25">
        <v>63</v>
      </c>
      <c r="O32" s="25">
        <v>60</v>
      </c>
      <c r="P32" s="25">
        <v>66</v>
      </c>
      <c r="Q32" s="25">
        <v>122</v>
      </c>
      <c r="R32" s="25">
        <v>18</v>
      </c>
      <c r="S32" s="25">
        <v>36</v>
      </c>
      <c r="T32" s="25">
        <v>32</v>
      </c>
      <c r="U32" s="25">
        <v>48</v>
      </c>
    </row>
  </sheetData>
  <mergeCells count="12">
    <mergeCell ref="A19:A31"/>
    <mergeCell ref="Y19:AC19"/>
    <mergeCell ref="Z20:AC20"/>
    <mergeCell ref="Z21:AC21"/>
    <mergeCell ref="Z22:AC22"/>
    <mergeCell ref="Y24:AC24"/>
    <mergeCell ref="Z25:AC25"/>
    <mergeCell ref="B32:D32"/>
    <mergeCell ref="B18:C18"/>
    <mergeCell ref="Z26:AC26"/>
    <mergeCell ref="Z27:AC27"/>
    <mergeCell ref="AE4:AF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 List</vt:lpstr>
      <vt:lpstr>Need - Metric List</vt:lpstr>
      <vt:lpstr>Need - Metric Matrix</vt:lpstr>
      <vt:lpstr>QFD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2025-06-07T16:44:04Z</dcterms:created>
  <dcterms:modified xsi:type="dcterms:W3CDTF">2026-01-16T23:24:31Z</dcterms:modified>
</cp:coreProperties>
</file>