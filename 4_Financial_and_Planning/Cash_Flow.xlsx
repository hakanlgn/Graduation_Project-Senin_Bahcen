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GitHub'a Yüklenecek Projeler\YÜKLEMEYE HAZIR\Graduation Design Project\4_Financial_and_Planning\"/>
    </mc:Choice>
  </mc:AlternateContent>
  <xr:revisionPtr revIDLastSave="0" documentId="13_ncr:1_{33E9A146-0B04-4992-A2F5-A3FF27A81435}" xr6:coauthVersionLast="36" xr6:coauthVersionMax="36" xr10:uidLastSave="{00000000-0000-0000-0000-000000000000}"/>
  <bookViews>
    <workbookView xWindow="0" yWindow="0" windowWidth="23040" windowHeight="9396" firstSheet="3" activeTab="3" xr2:uid="{00000000-000D-0000-FFFF-FFFF00000000}"/>
  </bookViews>
  <sheets>
    <sheet name="NPV" sheetId="1" state="hidden" r:id="rId1"/>
    <sheet name="Financial Analysis" sheetId="3" r:id="rId2"/>
    <sheet name="Discount Rate" sheetId="2" r:id="rId3"/>
    <sheet name="Capacity Using Rate &amp; Cash Flow" sheetId="4" r:id="rId4"/>
    <sheet name="Monte Carlo Simülasyonu" sheetId="7" r:id="rId5"/>
    <sheet name="Index Scoring Model" sheetId="8" r:id="rId6"/>
    <sheet name="Seasonal Price Estimation" sheetId="9" r:id="rId7"/>
  </sheets>
  <calcPr calcId="191029"/>
</workbook>
</file>

<file path=xl/calcChain.xml><?xml version="1.0" encoding="utf-8"?>
<calcChain xmlns="http://schemas.openxmlformats.org/spreadsheetml/2006/main">
  <c r="F4" i="9" l="1"/>
  <c r="F5" i="9"/>
  <c r="F6" i="9"/>
  <c r="F7" i="9"/>
  <c r="F8" i="9"/>
  <c r="F9" i="9"/>
  <c r="F10" i="9"/>
  <c r="F11" i="9"/>
  <c r="F12" i="9"/>
  <c r="D13" i="9" l="1"/>
  <c r="C13" i="9"/>
  <c r="G6" i="9"/>
  <c r="G7" i="9"/>
  <c r="G8" i="9"/>
  <c r="G9" i="9"/>
  <c r="G10" i="9"/>
  <c r="G11" i="9"/>
  <c r="G12" i="9"/>
  <c r="G4" i="9"/>
  <c r="F13" i="9" l="1"/>
  <c r="G15" i="9" s="1"/>
  <c r="G5" i="9"/>
  <c r="G13" i="9" s="1"/>
  <c r="G4" i="8"/>
  <c r="G5" i="8"/>
  <c r="G8" i="8"/>
  <c r="G6" i="8"/>
  <c r="G7" i="8"/>
  <c r="G9" i="8"/>
  <c r="G10" i="8"/>
  <c r="G11" i="8"/>
  <c r="G3" i="8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1" i="7"/>
  <c r="J202" i="7"/>
  <c r="J203" i="7"/>
  <c r="J204" i="7"/>
  <c r="J205" i="7"/>
  <c r="J206" i="7"/>
  <c r="J207" i="7"/>
  <c r="J208" i="7"/>
  <c r="J209" i="7"/>
  <c r="J210" i="7"/>
  <c r="J211" i="7"/>
  <c r="J212" i="7"/>
  <c r="J213" i="7"/>
  <c r="J214" i="7"/>
  <c r="J215" i="7"/>
  <c r="J216" i="7"/>
  <c r="J217" i="7"/>
  <c r="J218" i="7"/>
  <c r="J219" i="7"/>
  <c r="J220" i="7"/>
  <c r="J221" i="7"/>
  <c r="J222" i="7"/>
  <c r="J223" i="7"/>
  <c r="J224" i="7"/>
  <c r="J225" i="7"/>
  <c r="J226" i="7"/>
  <c r="J227" i="7"/>
  <c r="J228" i="7"/>
  <c r="J229" i="7"/>
  <c r="J230" i="7"/>
  <c r="J231" i="7"/>
  <c r="J232" i="7"/>
  <c r="J233" i="7"/>
  <c r="J234" i="7"/>
  <c r="J235" i="7"/>
  <c r="J236" i="7"/>
  <c r="J237" i="7"/>
  <c r="J238" i="7"/>
  <c r="J239" i="7"/>
  <c r="J240" i="7"/>
  <c r="J241" i="7"/>
  <c r="J242" i="7"/>
  <c r="J243" i="7"/>
  <c r="J244" i="7"/>
  <c r="J245" i="7"/>
  <c r="J246" i="7"/>
  <c r="J247" i="7"/>
  <c r="J248" i="7"/>
  <c r="J249" i="7"/>
  <c r="J250" i="7"/>
  <c r="J251" i="7"/>
  <c r="J252" i="7"/>
  <c r="J253" i="7"/>
  <c r="J254" i="7"/>
  <c r="J255" i="7"/>
  <c r="J256" i="7"/>
  <c r="J257" i="7"/>
  <c r="J258" i="7"/>
  <c r="J259" i="7"/>
  <c r="J260" i="7"/>
  <c r="J261" i="7"/>
  <c r="J262" i="7"/>
  <c r="J263" i="7"/>
  <c r="J264" i="7"/>
  <c r="J265" i="7"/>
  <c r="J266" i="7"/>
  <c r="J267" i="7"/>
  <c r="J268" i="7"/>
  <c r="J269" i="7"/>
  <c r="J270" i="7"/>
  <c r="J271" i="7"/>
  <c r="J272" i="7"/>
  <c r="J273" i="7"/>
  <c r="J274" i="7"/>
  <c r="J275" i="7"/>
  <c r="J276" i="7"/>
  <c r="J277" i="7"/>
  <c r="J278" i="7"/>
  <c r="J279" i="7"/>
  <c r="J280" i="7"/>
  <c r="J281" i="7"/>
  <c r="J282" i="7"/>
  <c r="J283" i="7"/>
  <c r="J284" i="7"/>
  <c r="J285" i="7"/>
  <c r="J286" i="7"/>
  <c r="J287" i="7"/>
  <c r="J288" i="7"/>
  <c r="J289" i="7"/>
  <c r="J290" i="7"/>
  <c r="J291" i="7"/>
  <c r="J292" i="7"/>
  <c r="J293" i="7"/>
  <c r="J294" i="7"/>
  <c r="J295" i="7"/>
  <c r="J296" i="7"/>
  <c r="J297" i="7"/>
  <c r="J298" i="7"/>
  <c r="J299" i="7"/>
  <c r="J300" i="7"/>
  <c r="J301" i="7"/>
  <c r="J302" i="7"/>
  <c r="J303" i="7"/>
  <c r="J304" i="7"/>
  <c r="J305" i="7"/>
  <c r="J306" i="7"/>
  <c r="J307" i="7"/>
  <c r="J308" i="7"/>
  <c r="J309" i="7"/>
  <c r="J310" i="7"/>
  <c r="J311" i="7"/>
  <c r="J312" i="7"/>
  <c r="J313" i="7"/>
  <c r="J314" i="7"/>
  <c r="J315" i="7"/>
  <c r="J316" i="7"/>
  <c r="J317" i="7"/>
  <c r="J318" i="7"/>
  <c r="J319" i="7"/>
  <c r="J320" i="7"/>
  <c r="J321" i="7"/>
  <c r="J322" i="7"/>
  <c r="J323" i="7"/>
  <c r="J324" i="7"/>
  <c r="J325" i="7"/>
  <c r="J326" i="7"/>
  <c r="J327" i="7"/>
  <c r="J328" i="7"/>
  <c r="J329" i="7"/>
  <c r="J330" i="7"/>
  <c r="J331" i="7"/>
  <c r="J332" i="7"/>
  <c r="J333" i="7"/>
  <c r="J334" i="7"/>
  <c r="J335" i="7"/>
  <c r="J336" i="7"/>
  <c r="J337" i="7"/>
  <c r="J338" i="7"/>
  <c r="J339" i="7"/>
  <c r="J340" i="7"/>
  <c r="J341" i="7"/>
  <c r="J342" i="7"/>
  <c r="J343" i="7"/>
  <c r="J344" i="7"/>
  <c r="J345" i="7"/>
  <c r="J346" i="7"/>
  <c r="J347" i="7"/>
  <c r="J348" i="7"/>
  <c r="J349" i="7"/>
  <c r="J350" i="7"/>
  <c r="J351" i="7"/>
  <c r="J352" i="7"/>
  <c r="J353" i="7"/>
  <c r="J354" i="7"/>
  <c r="J355" i="7"/>
  <c r="J356" i="7"/>
  <c r="J357" i="7"/>
  <c r="J358" i="7"/>
  <c r="J359" i="7"/>
  <c r="J360" i="7"/>
  <c r="J361" i="7"/>
  <c r="J362" i="7"/>
  <c r="J363" i="7"/>
  <c r="J364" i="7"/>
  <c r="J365" i="7"/>
  <c r="J366" i="7"/>
  <c r="J367" i="7"/>
  <c r="J368" i="7"/>
  <c r="J369" i="7"/>
  <c r="J370" i="7"/>
  <c r="J371" i="7"/>
  <c r="J372" i="7"/>
  <c r="J373" i="7"/>
  <c r="J374" i="7"/>
  <c r="J375" i="7"/>
  <c r="J376" i="7"/>
  <c r="J377" i="7"/>
  <c r="J378" i="7"/>
  <c r="J379" i="7"/>
  <c r="J380" i="7"/>
  <c r="J381" i="7"/>
  <c r="J382" i="7"/>
  <c r="J383" i="7"/>
  <c r="J384" i="7"/>
  <c r="J385" i="7"/>
  <c r="J386" i="7"/>
  <c r="J387" i="7"/>
  <c r="J388" i="7"/>
  <c r="J389" i="7"/>
  <c r="J390" i="7"/>
  <c r="J391" i="7"/>
  <c r="J392" i="7"/>
  <c r="J393" i="7"/>
  <c r="J394" i="7"/>
  <c r="J395" i="7"/>
  <c r="J396" i="7"/>
  <c r="J397" i="7"/>
  <c r="J398" i="7"/>
  <c r="J399" i="7"/>
  <c r="J400" i="7"/>
  <c r="J401" i="7"/>
  <c r="J402" i="7"/>
  <c r="J403" i="7"/>
  <c r="J404" i="7"/>
  <c r="J405" i="7"/>
  <c r="J406" i="7"/>
  <c r="J407" i="7"/>
  <c r="J408" i="7"/>
  <c r="J409" i="7"/>
  <c r="J410" i="7"/>
  <c r="J411" i="7"/>
  <c r="J412" i="7"/>
  <c r="J413" i="7"/>
  <c r="J414" i="7"/>
  <c r="J415" i="7"/>
  <c r="J416" i="7"/>
  <c r="J417" i="7"/>
  <c r="J418" i="7"/>
  <c r="J419" i="7"/>
  <c r="J420" i="7"/>
  <c r="J421" i="7"/>
  <c r="J422" i="7"/>
  <c r="J423" i="7"/>
  <c r="J424" i="7"/>
  <c r="J425" i="7"/>
  <c r="J426" i="7"/>
  <c r="J427" i="7"/>
  <c r="J428" i="7"/>
  <c r="J429" i="7"/>
  <c r="J430" i="7"/>
  <c r="J431" i="7"/>
  <c r="J432" i="7"/>
  <c r="J433" i="7"/>
  <c r="J434" i="7"/>
  <c r="J435" i="7"/>
  <c r="J436" i="7"/>
  <c r="J437" i="7"/>
  <c r="J438" i="7"/>
  <c r="J439" i="7"/>
  <c r="J440" i="7"/>
  <c r="J441" i="7"/>
  <c r="J442" i="7"/>
  <c r="J443" i="7"/>
  <c r="J444" i="7"/>
  <c r="J445" i="7"/>
  <c r="J446" i="7"/>
  <c r="J447" i="7"/>
  <c r="J448" i="7"/>
  <c r="J449" i="7"/>
  <c r="J450" i="7"/>
  <c r="J451" i="7"/>
  <c r="J452" i="7"/>
  <c r="J453" i="7"/>
  <c r="J454" i="7"/>
  <c r="J455" i="7"/>
  <c r="J456" i="7"/>
  <c r="J457" i="7"/>
  <c r="J458" i="7"/>
  <c r="J459" i="7"/>
  <c r="J460" i="7"/>
  <c r="J461" i="7"/>
  <c r="J462" i="7"/>
  <c r="J463" i="7"/>
  <c r="J464" i="7"/>
  <c r="J465" i="7"/>
  <c r="J466" i="7"/>
  <c r="J467" i="7"/>
  <c r="J468" i="7"/>
  <c r="J469" i="7"/>
  <c r="J470" i="7"/>
  <c r="J471" i="7"/>
  <c r="J472" i="7"/>
  <c r="J473" i="7"/>
  <c r="J474" i="7"/>
  <c r="J475" i="7"/>
  <c r="J476" i="7"/>
  <c r="J477" i="7"/>
  <c r="J478" i="7"/>
  <c r="J479" i="7"/>
  <c r="J480" i="7"/>
  <c r="J481" i="7"/>
  <c r="J482" i="7"/>
  <c r="J483" i="7"/>
  <c r="J484" i="7"/>
  <c r="J485" i="7"/>
  <c r="J486" i="7"/>
  <c r="J487" i="7"/>
  <c r="J488" i="7"/>
  <c r="J489" i="7"/>
  <c r="J490" i="7"/>
  <c r="J491" i="7"/>
  <c r="J492" i="7"/>
  <c r="J493" i="7"/>
  <c r="J494" i="7"/>
  <c r="J495" i="7"/>
  <c r="J496" i="7"/>
  <c r="J497" i="7"/>
  <c r="J498" i="7"/>
  <c r="J499" i="7"/>
  <c r="J500" i="7"/>
  <c r="J501" i="7"/>
  <c r="J502" i="7"/>
  <c r="J503" i="7"/>
  <c r="J504" i="7"/>
  <c r="J505" i="7"/>
  <c r="J506" i="7"/>
  <c r="J507" i="7"/>
  <c r="J508" i="7"/>
  <c r="J509" i="7"/>
  <c r="J510" i="7"/>
  <c r="J511" i="7"/>
  <c r="J512" i="7"/>
  <c r="J513" i="7"/>
  <c r="J514" i="7"/>
  <c r="J515" i="7"/>
  <c r="J516" i="7"/>
  <c r="J517" i="7"/>
  <c r="J518" i="7"/>
  <c r="J519" i="7"/>
  <c r="J520" i="7"/>
  <c r="J521" i="7"/>
  <c r="J522" i="7"/>
  <c r="J523" i="7"/>
  <c r="J524" i="7"/>
  <c r="J525" i="7"/>
  <c r="J526" i="7"/>
  <c r="J527" i="7"/>
  <c r="J528" i="7"/>
  <c r="J529" i="7"/>
  <c r="J530" i="7"/>
  <c r="J531" i="7"/>
  <c r="J532" i="7"/>
  <c r="J533" i="7"/>
  <c r="J534" i="7"/>
  <c r="J535" i="7"/>
  <c r="J536" i="7"/>
  <c r="J537" i="7"/>
  <c r="J538" i="7"/>
  <c r="J539" i="7"/>
  <c r="J540" i="7"/>
  <c r="J541" i="7"/>
  <c r="J542" i="7"/>
  <c r="J543" i="7"/>
  <c r="J544" i="7"/>
  <c r="J545" i="7"/>
  <c r="J546" i="7"/>
  <c r="J547" i="7"/>
  <c r="J548" i="7"/>
  <c r="J549" i="7"/>
  <c r="J550" i="7"/>
  <c r="J551" i="7"/>
  <c r="J552" i="7"/>
  <c r="J553" i="7"/>
  <c r="J554" i="7"/>
  <c r="J555" i="7"/>
  <c r="J556" i="7"/>
  <c r="J557" i="7"/>
  <c r="J558" i="7"/>
  <c r="J559" i="7"/>
  <c r="J560" i="7"/>
  <c r="J561" i="7"/>
  <c r="J562" i="7"/>
  <c r="J563" i="7"/>
  <c r="J564" i="7"/>
  <c r="J565" i="7"/>
  <c r="J566" i="7"/>
  <c r="J567" i="7"/>
  <c r="J568" i="7"/>
  <c r="J569" i="7"/>
  <c r="J570" i="7"/>
  <c r="J571" i="7"/>
  <c r="J572" i="7"/>
  <c r="J573" i="7"/>
  <c r="J574" i="7"/>
  <c r="J575" i="7"/>
  <c r="J576" i="7"/>
  <c r="J577" i="7"/>
  <c r="J578" i="7"/>
  <c r="J579" i="7"/>
  <c r="J580" i="7"/>
  <c r="J581" i="7"/>
  <c r="J582" i="7"/>
  <c r="J583" i="7"/>
  <c r="J584" i="7"/>
  <c r="J585" i="7"/>
  <c r="J586" i="7"/>
  <c r="J587" i="7"/>
  <c r="J588" i="7"/>
  <c r="J589" i="7"/>
  <c r="J590" i="7"/>
  <c r="J591" i="7"/>
  <c r="J592" i="7"/>
  <c r="J593" i="7"/>
  <c r="J594" i="7"/>
  <c r="J595" i="7"/>
  <c r="J596" i="7"/>
  <c r="J597" i="7"/>
  <c r="J598" i="7"/>
  <c r="J599" i="7"/>
  <c r="J600" i="7"/>
  <c r="J601" i="7"/>
  <c r="J602" i="7"/>
  <c r="J603" i="7"/>
  <c r="J604" i="7"/>
  <c r="J605" i="7"/>
  <c r="J606" i="7"/>
  <c r="J607" i="7"/>
  <c r="J608" i="7"/>
  <c r="J609" i="7"/>
  <c r="J610" i="7"/>
  <c r="J611" i="7"/>
  <c r="J612" i="7"/>
  <c r="J613" i="7"/>
  <c r="J614" i="7"/>
  <c r="J615" i="7"/>
  <c r="J616" i="7"/>
  <c r="J617" i="7"/>
  <c r="J618" i="7"/>
  <c r="J619" i="7"/>
  <c r="J620" i="7"/>
  <c r="J621" i="7"/>
  <c r="J622" i="7"/>
  <c r="J623" i="7"/>
  <c r="J624" i="7"/>
  <c r="J625" i="7"/>
  <c r="J626" i="7"/>
  <c r="J627" i="7"/>
  <c r="J628" i="7"/>
  <c r="J629" i="7"/>
  <c r="J630" i="7"/>
  <c r="J631" i="7"/>
  <c r="J632" i="7"/>
  <c r="J633" i="7"/>
  <c r="J634" i="7"/>
  <c r="J635" i="7"/>
  <c r="J636" i="7"/>
  <c r="J637" i="7"/>
  <c r="J638" i="7"/>
  <c r="J639" i="7"/>
  <c r="J640" i="7"/>
  <c r="J641" i="7"/>
  <c r="J642" i="7"/>
  <c r="J643" i="7"/>
  <c r="J644" i="7"/>
  <c r="J645" i="7"/>
  <c r="J646" i="7"/>
  <c r="J647" i="7"/>
  <c r="J648" i="7"/>
  <c r="J649" i="7"/>
  <c r="J650" i="7"/>
  <c r="J651" i="7"/>
  <c r="J652" i="7"/>
  <c r="J653" i="7"/>
  <c r="J654" i="7"/>
  <c r="J655" i="7"/>
  <c r="J656" i="7"/>
  <c r="J657" i="7"/>
  <c r="J658" i="7"/>
  <c r="J659" i="7"/>
  <c r="J660" i="7"/>
  <c r="J661" i="7"/>
  <c r="J662" i="7"/>
  <c r="J663" i="7"/>
  <c r="J664" i="7"/>
  <c r="J665" i="7"/>
  <c r="J666" i="7"/>
  <c r="J667" i="7"/>
  <c r="J668" i="7"/>
  <c r="J669" i="7"/>
  <c r="J670" i="7"/>
  <c r="J671" i="7"/>
  <c r="J672" i="7"/>
  <c r="J673" i="7"/>
  <c r="J674" i="7"/>
  <c r="J675" i="7"/>
  <c r="J676" i="7"/>
  <c r="J677" i="7"/>
  <c r="J678" i="7"/>
  <c r="J679" i="7"/>
  <c r="J680" i="7"/>
  <c r="J681" i="7"/>
  <c r="J682" i="7"/>
  <c r="J683" i="7"/>
  <c r="J684" i="7"/>
  <c r="J685" i="7"/>
  <c r="J686" i="7"/>
  <c r="J687" i="7"/>
  <c r="J688" i="7"/>
  <c r="J689" i="7"/>
  <c r="J690" i="7"/>
  <c r="J691" i="7"/>
  <c r="J692" i="7"/>
  <c r="J693" i="7"/>
  <c r="J694" i="7"/>
  <c r="J695" i="7"/>
  <c r="J696" i="7"/>
  <c r="J697" i="7"/>
  <c r="J698" i="7"/>
  <c r="J699" i="7"/>
  <c r="J700" i="7"/>
  <c r="J701" i="7"/>
  <c r="J702" i="7"/>
  <c r="J703" i="7"/>
  <c r="J704" i="7"/>
  <c r="J705" i="7"/>
  <c r="J706" i="7"/>
  <c r="J707" i="7"/>
  <c r="J708" i="7"/>
  <c r="J709" i="7"/>
  <c r="J710" i="7"/>
  <c r="J711" i="7"/>
  <c r="J712" i="7"/>
  <c r="J713" i="7"/>
  <c r="J714" i="7"/>
  <c r="J715" i="7"/>
  <c r="J716" i="7"/>
  <c r="J717" i="7"/>
  <c r="J718" i="7"/>
  <c r="J719" i="7"/>
  <c r="J720" i="7"/>
  <c r="J721" i="7"/>
  <c r="J722" i="7"/>
  <c r="J723" i="7"/>
  <c r="J724" i="7"/>
  <c r="J725" i="7"/>
  <c r="J726" i="7"/>
  <c r="J727" i="7"/>
  <c r="J728" i="7"/>
  <c r="J729" i="7"/>
  <c r="J730" i="7"/>
  <c r="J731" i="7"/>
  <c r="J732" i="7"/>
  <c r="J733" i="7"/>
  <c r="J734" i="7"/>
  <c r="J735" i="7"/>
  <c r="J736" i="7"/>
  <c r="J737" i="7"/>
  <c r="J738" i="7"/>
  <c r="J739" i="7"/>
  <c r="J740" i="7"/>
  <c r="J741" i="7"/>
  <c r="J742" i="7"/>
  <c r="J743" i="7"/>
  <c r="J744" i="7"/>
  <c r="J745" i="7"/>
  <c r="J746" i="7"/>
  <c r="J747" i="7"/>
  <c r="J748" i="7"/>
  <c r="J749" i="7"/>
  <c r="J750" i="7"/>
  <c r="J751" i="7"/>
  <c r="J752" i="7"/>
  <c r="J753" i="7"/>
  <c r="J754" i="7"/>
  <c r="J755" i="7"/>
  <c r="J756" i="7"/>
  <c r="J757" i="7"/>
  <c r="J758" i="7"/>
  <c r="J759" i="7"/>
  <c r="J760" i="7"/>
  <c r="J761" i="7"/>
  <c r="J762" i="7"/>
  <c r="J763" i="7"/>
  <c r="J764" i="7"/>
  <c r="J765" i="7"/>
  <c r="J766" i="7"/>
  <c r="J767" i="7"/>
  <c r="J768" i="7"/>
  <c r="J769" i="7"/>
  <c r="J770" i="7"/>
  <c r="J771" i="7"/>
  <c r="J772" i="7"/>
  <c r="J773" i="7"/>
  <c r="J774" i="7"/>
  <c r="J775" i="7"/>
  <c r="J776" i="7"/>
  <c r="J777" i="7"/>
  <c r="J778" i="7"/>
  <c r="J779" i="7"/>
  <c r="J780" i="7"/>
  <c r="J781" i="7"/>
  <c r="J782" i="7"/>
  <c r="J783" i="7"/>
  <c r="J784" i="7"/>
  <c r="J785" i="7"/>
  <c r="J786" i="7"/>
  <c r="J787" i="7"/>
  <c r="J788" i="7"/>
  <c r="J789" i="7"/>
  <c r="J790" i="7"/>
  <c r="J791" i="7"/>
  <c r="J792" i="7"/>
  <c r="J793" i="7"/>
  <c r="J794" i="7"/>
  <c r="J795" i="7"/>
  <c r="J796" i="7"/>
  <c r="J797" i="7"/>
  <c r="J798" i="7"/>
  <c r="J799" i="7"/>
  <c r="J800" i="7"/>
  <c r="J801" i="7"/>
  <c r="J802" i="7"/>
  <c r="J803" i="7"/>
  <c r="J804" i="7"/>
  <c r="J805" i="7"/>
  <c r="J806" i="7"/>
  <c r="J807" i="7"/>
  <c r="J808" i="7"/>
  <c r="J809" i="7"/>
  <c r="J810" i="7"/>
  <c r="J811" i="7"/>
  <c r="J812" i="7"/>
  <c r="J813" i="7"/>
  <c r="J814" i="7"/>
  <c r="J815" i="7"/>
  <c r="J816" i="7"/>
  <c r="J817" i="7"/>
  <c r="J818" i="7"/>
  <c r="J819" i="7"/>
  <c r="J820" i="7"/>
  <c r="J821" i="7"/>
  <c r="J822" i="7"/>
  <c r="J823" i="7"/>
  <c r="J824" i="7"/>
  <c r="J825" i="7"/>
  <c r="J826" i="7"/>
  <c r="J827" i="7"/>
  <c r="J828" i="7"/>
  <c r="J829" i="7"/>
  <c r="J830" i="7"/>
  <c r="J831" i="7"/>
  <c r="J832" i="7"/>
  <c r="J833" i="7"/>
  <c r="J834" i="7"/>
  <c r="J835" i="7"/>
  <c r="J836" i="7"/>
  <c r="J837" i="7"/>
  <c r="J838" i="7"/>
  <c r="J839" i="7"/>
  <c r="J840" i="7"/>
  <c r="J841" i="7"/>
  <c r="J842" i="7"/>
  <c r="J843" i="7"/>
  <c r="J844" i="7"/>
  <c r="J845" i="7"/>
  <c r="J846" i="7"/>
  <c r="J847" i="7"/>
  <c r="J848" i="7"/>
  <c r="J849" i="7"/>
  <c r="J850" i="7"/>
  <c r="J851" i="7"/>
  <c r="J852" i="7"/>
  <c r="J853" i="7"/>
  <c r="J854" i="7"/>
  <c r="J855" i="7"/>
  <c r="J856" i="7"/>
  <c r="J857" i="7"/>
  <c r="J858" i="7"/>
  <c r="J859" i="7"/>
  <c r="J860" i="7"/>
  <c r="J861" i="7"/>
  <c r="J862" i="7"/>
  <c r="J863" i="7"/>
  <c r="J864" i="7"/>
  <c r="J865" i="7"/>
  <c r="J866" i="7"/>
  <c r="J867" i="7"/>
  <c r="J868" i="7"/>
  <c r="J869" i="7"/>
  <c r="J870" i="7"/>
  <c r="J871" i="7"/>
  <c r="J872" i="7"/>
  <c r="J873" i="7"/>
  <c r="J874" i="7"/>
  <c r="J875" i="7"/>
  <c r="J876" i="7"/>
  <c r="J877" i="7"/>
  <c r="J878" i="7"/>
  <c r="J879" i="7"/>
  <c r="J880" i="7"/>
  <c r="J881" i="7"/>
  <c r="J882" i="7"/>
  <c r="J883" i="7"/>
  <c r="J884" i="7"/>
  <c r="J885" i="7"/>
  <c r="J886" i="7"/>
  <c r="J887" i="7"/>
  <c r="J888" i="7"/>
  <c r="J889" i="7"/>
  <c r="J890" i="7"/>
  <c r="J891" i="7"/>
  <c r="J892" i="7"/>
  <c r="J893" i="7"/>
  <c r="J894" i="7"/>
  <c r="J895" i="7"/>
  <c r="J896" i="7"/>
  <c r="J897" i="7"/>
  <c r="J898" i="7"/>
  <c r="J899" i="7"/>
  <c r="J900" i="7"/>
  <c r="J901" i="7"/>
  <c r="J902" i="7"/>
  <c r="J903" i="7"/>
  <c r="J904" i="7"/>
  <c r="J905" i="7"/>
  <c r="J906" i="7"/>
  <c r="J907" i="7"/>
  <c r="J908" i="7"/>
  <c r="J909" i="7"/>
  <c r="J910" i="7"/>
  <c r="J911" i="7"/>
  <c r="J912" i="7"/>
  <c r="J913" i="7"/>
  <c r="J914" i="7"/>
  <c r="J915" i="7"/>
  <c r="J916" i="7"/>
  <c r="J917" i="7"/>
  <c r="J918" i="7"/>
  <c r="J919" i="7"/>
  <c r="J920" i="7"/>
  <c r="J921" i="7"/>
  <c r="J922" i="7"/>
  <c r="J923" i="7"/>
  <c r="J924" i="7"/>
  <c r="J925" i="7"/>
  <c r="J926" i="7"/>
  <c r="J927" i="7"/>
  <c r="J928" i="7"/>
  <c r="J929" i="7"/>
  <c r="J930" i="7"/>
  <c r="J931" i="7"/>
  <c r="J932" i="7"/>
  <c r="J933" i="7"/>
  <c r="J934" i="7"/>
  <c r="J935" i="7"/>
  <c r="J936" i="7"/>
  <c r="J937" i="7"/>
  <c r="J938" i="7"/>
  <c r="J939" i="7"/>
  <c r="J940" i="7"/>
  <c r="J941" i="7"/>
  <c r="J942" i="7"/>
  <c r="J943" i="7"/>
  <c r="J944" i="7"/>
  <c r="J945" i="7"/>
  <c r="J946" i="7"/>
  <c r="J947" i="7"/>
  <c r="J948" i="7"/>
  <c r="J949" i="7"/>
  <c r="J950" i="7"/>
  <c r="J951" i="7"/>
  <c r="J952" i="7"/>
  <c r="J953" i="7"/>
  <c r="J954" i="7"/>
  <c r="J955" i="7"/>
  <c r="J956" i="7"/>
  <c r="J957" i="7"/>
  <c r="J958" i="7"/>
  <c r="J959" i="7"/>
  <c r="J960" i="7"/>
  <c r="J961" i="7"/>
  <c r="J962" i="7"/>
  <c r="J963" i="7"/>
  <c r="J964" i="7"/>
  <c r="J965" i="7"/>
  <c r="J966" i="7"/>
  <c r="J967" i="7"/>
  <c r="J968" i="7"/>
  <c r="J969" i="7"/>
  <c r="J970" i="7"/>
  <c r="J971" i="7"/>
  <c r="J972" i="7"/>
  <c r="J973" i="7"/>
  <c r="J974" i="7"/>
  <c r="J975" i="7"/>
  <c r="J976" i="7"/>
  <c r="J977" i="7"/>
  <c r="J978" i="7"/>
  <c r="J979" i="7"/>
  <c r="J980" i="7"/>
  <c r="J981" i="7"/>
  <c r="J982" i="7"/>
  <c r="J983" i="7"/>
  <c r="J984" i="7"/>
  <c r="J985" i="7"/>
  <c r="J986" i="7"/>
  <c r="J987" i="7"/>
  <c r="J988" i="7"/>
  <c r="J989" i="7"/>
  <c r="J990" i="7"/>
  <c r="J991" i="7"/>
  <c r="J992" i="7"/>
  <c r="J993" i="7"/>
  <c r="J994" i="7"/>
  <c r="J995" i="7"/>
  <c r="J996" i="7"/>
  <c r="J997" i="7"/>
  <c r="J998" i="7"/>
  <c r="J999" i="7"/>
  <c r="J1000" i="7"/>
  <c r="J1001" i="7"/>
  <c r="J1002" i="7"/>
  <c r="J3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I250" i="7"/>
  <c r="I251" i="7"/>
  <c r="I252" i="7"/>
  <c r="I253" i="7"/>
  <c r="I254" i="7"/>
  <c r="I255" i="7"/>
  <c r="I25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I277" i="7"/>
  <c r="I278" i="7"/>
  <c r="I279" i="7"/>
  <c r="I280" i="7"/>
  <c r="I281" i="7"/>
  <c r="I282" i="7"/>
  <c r="I283" i="7"/>
  <c r="I284" i="7"/>
  <c r="I285" i="7"/>
  <c r="I286" i="7"/>
  <c r="I287" i="7"/>
  <c r="I288" i="7"/>
  <c r="I289" i="7"/>
  <c r="I290" i="7"/>
  <c r="I291" i="7"/>
  <c r="I292" i="7"/>
  <c r="I293" i="7"/>
  <c r="I294" i="7"/>
  <c r="I295" i="7"/>
  <c r="I296" i="7"/>
  <c r="I297" i="7"/>
  <c r="I298" i="7"/>
  <c r="I299" i="7"/>
  <c r="I300" i="7"/>
  <c r="I301" i="7"/>
  <c r="I302" i="7"/>
  <c r="I303" i="7"/>
  <c r="I304" i="7"/>
  <c r="I305" i="7"/>
  <c r="I306" i="7"/>
  <c r="I307" i="7"/>
  <c r="I308" i="7"/>
  <c r="I309" i="7"/>
  <c r="I310" i="7"/>
  <c r="I311" i="7"/>
  <c r="I312" i="7"/>
  <c r="I313" i="7"/>
  <c r="I314" i="7"/>
  <c r="I315" i="7"/>
  <c r="I316" i="7"/>
  <c r="I317" i="7"/>
  <c r="I318" i="7"/>
  <c r="I319" i="7"/>
  <c r="I320" i="7"/>
  <c r="I321" i="7"/>
  <c r="I322" i="7"/>
  <c r="I323" i="7"/>
  <c r="I324" i="7"/>
  <c r="I325" i="7"/>
  <c r="I326" i="7"/>
  <c r="I327" i="7"/>
  <c r="I328" i="7"/>
  <c r="I329" i="7"/>
  <c r="I330" i="7"/>
  <c r="I331" i="7"/>
  <c r="I332" i="7"/>
  <c r="I333" i="7"/>
  <c r="I334" i="7"/>
  <c r="I335" i="7"/>
  <c r="I336" i="7"/>
  <c r="I337" i="7"/>
  <c r="I338" i="7"/>
  <c r="I339" i="7"/>
  <c r="I340" i="7"/>
  <c r="I341" i="7"/>
  <c r="I342" i="7"/>
  <c r="I343" i="7"/>
  <c r="I344" i="7"/>
  <c r="I345" i="7"/>
  <c r="I346" i="7"/>
  <c r="I347" i="7"/>
  <c r="I348" i="7"/>
  <c r="I349" i="7"/>
  <c r="I350" i="7"/>
  <c r="I351" i="7"/>
  <c r="I352" i="7"/>
  <c r="I353" i="7"/>
  <c r="I354" i="7"/>
  <c r="I355" i="7"/>
  <c r="I356" i="7"/>
  <c r="I357" i="7"/>
  <c r="I358" i="7"/>
  <c r="I359" i="7"/>
  <c r="I360" i="7"/>
  <c r="I361" i="7"/>
  <c r="I362" i="7"/>
  <c r="I363" i="7"/>
  <c r="I364" i="7"/>
  <c r="I365" i="7"/>
  <c r="I366" i="7"/>
  <c r="I367" i="7"/>
  <c r="I368" i="7"/>
  <c r="I369" i="7"/>
  <c r="I370" i="7"/>
  <c r="I371" i="7"/>
  <c r="I372" i="7"/>
  <c r="I373" i="7"/>
  <c r="I374" i="7"/>
  <c r="I375" i="7"/>
  <c r="I376" i="7"/>
  <c r="I377" i="7"/>
  <c r="I378" i="7"/>
  <c r="I379" i="7"/>
  <c r="I380" i="7"/>
  <c r="I381" i="7"/>
  <c r="I382" i="7"/>
  <c r="I383" i="7"/>
  <c r="I384" i="7"/>
  <c r="I385" i="7"/>
  <c r="I386" i="7"/>
  <c r="I387" i="7"/>
  <c r="I388" i="7"/>
  <c r="I389" i="7"/>
  <c r="I390" i="7"/>
  <c r="I391" i="7"/>
  <c r="I392" i="7"/>
  <c r="I393" i="7"/>
  <c r="I394" i="7"/>
  <c r="I395" i="7"/>
  <c r="I396" i="7"/>
  <c r="I397" i="7"/>
  <c r="I398" i="7"/>
  <c r="I399" i="7"/>
  <c r="I400" i="7"/>
  <c r="I401" i="7"/>
  <c r="I402" i="7"/>
  <c r="I403" i="7"/>
  <c r="I404" i="7"/>
  <c r="I405" i="7"/>
  <c r="I406" i="7"/>
  <c r="I407" i="7"/>
  <c r="I408" i="7"/>
  <c r="I409" i="7"/>
  <c r="I410" i="7"/>
  <c r="I411" i="7"/>
  <c r="I412" i="7"/>
  <c r="I413" i="7"/>
  <c r="I414" i="7"/>
  <c r="I415" i="7"/>
  <c r="I416" i="7"/>
  <c r="I417" i="7"/>
  <c r="I418" i="7"/>
  <c r="I419" i="7"/>
  <c r="I420" i="7"/>
  <c r="I421" i="7"/>
  <c r="I422" i="7"/>
  <c r="I423" i="7"/>
  <c r="I424" i="7"/>
  <c r="I425" i="7"/>
  <c r="I426" i="7"/>
  <c r="I427" i="7"/>
  <c r="I428" i="7"/>
  <c r="I429" i="7"/>
  <c r="I430" i="7"/>
  <c r="I431" i="7"/>
  <c r="I432" i="7"/>
  <c r="I433" i="7"/>
  <c r="I434" i="7"/>
  <c r="I435" i="7"/>
  <c r="I436" i="7"/>
  <c r="I437" i="7"/>
  <c r="I438" i="7"/>
  <c r="I439" i="7"/>
  <c r="I440" i="7"/>
  <c r="I441" i="7"/>
  <c r="I442" i="7"/>
  <c r="I443" i="7"/>
  <c r="I444" i="7"/>
  <c r="I445" i="7"/>
  <c r="I446" i="7"/>
  <c r="I447" i="7"/>
  <c r="I448" i="7"/>
  <c r="I449" i="7"/>
  <c r="I450" i="7"/>
  <c r="I451" i="7"/>
  <c r="I452" i="7"/>
  <c r="I453" i="7"/>
  <c r="I454" i="7"/>
  <c r="I455" i="7"/>
  <c r="I456" i="7"/>
  <c r="I457" i="7"/>
  <c r="I458" i="7"/>
  <c r="I459" i="7"/>
  <c r="I460" i="7"/>
  <c r="I461" i="7"/>
  <c r="I462" i="7"/>
  <c r="I463" i="7"/>
  <c r="I464" i="7"/>
  <c r="I465" i="7"/>
  <c r="I466" i="7"/>
  <c r="I467" i="7"/>
  <c r="I468" i="7"/>
  <c r="I469" i="7"/>
  <c r="I470" i="7"/>
  <c r="I471" i="7"/>
  <c r="I472" i="7"/>
  <c r="I473" i="7"/>
  <c r="I474" i="7"/>
  <c r="I475" i="7"/>
  <c r="I476" i="7"/>
  <c r="I477" i="7"/>
  <c r="I478" i="7"/>
  <c r="I479" i="7"/>
  <c r="I480" i="7"/>
  <c r="I481" i="7"/>
  <c r="I482" i="7"/>
  <c r="I483" i="7"/>
  <c r="I484" i="7"/>
  <c r="I485" i="7"/>
  <c r="I486" i="7"/>
  <c r="I487" i="7"/>
  <c r="I488" i="7"/>
  <c r="I489" i="7"/>
  <c r="I490" i="7"/>
  <c r="I491" i="7"/>
  <c r="I492" i="7"/>
  <c r="I493" i="7"/>
  <c r="I494" i="7"/>
  <c r="I495" i="7"/>
  <c r="I496" i="7"/>
  <c r="I497" i="7"/>
  <c r="I498" i="7"/>
  <c r="I499" i="7"/>
  <c r="I500" i="7"/>
  <c r="I501" i="7"/>
  <c r="I502" i="7"/>
  <c r="I503" i="7"/>
  <c r="I504" i="7"/>
  <c r="I505" i="7"/>
  <c r="I506" i="7"/>
  <c r="I507" i="7"/>
  <c r="I508" i="7"/>
  <c r="I509" i="7"/>
  <c r="I510" i="7"/>
  <c r="I511" i="7"/>
  <c r="I512" i="7"/>
  <c r="I513" i="7"/>
  <c r="I514" i="7"/>
  <c r="I515" i="7"/>
  <c r="I516" i="7"/>
  <c r="I517" i="7"/>
  <c r="I518" i="7"/>
  <c r="I519" i="7"/>
  <c r="I520" i="7"/>
  <c r="I521" i="7"/>
  <c r="I522" i="7"/>
  <c r="I523" i="7"/>
  <c r="I524" i="7"/>
  <c r="I525" i="7"/>
  <c r="I526" i="7"/>
  <c r="I527" i="7"/>
  <c r="I528" i="7"/>
  <c r="I529" i="7"/>
  <c r="I530" i="7"/>
  <c r="I531" i="7"/>
  <c r="I532" i="7"/>
  <c r="I533" i="7"/>
  <c r="I534" i="7"/>
  <c r="I535" i="7"/>
  <c r="I536" i="7"/>
  <c r="I537" i="7"/>
  <c r="I538" i="7"/>
  <c r="I539" i="7"/>
  <c r="I540" i="7"/>
  <c r="I541" i="7"/>
  <c r="I542" i="7"/>
  <c r="I543" i="7"/>
  <c r="I544" i="7"/>
  <c r="I545" i="7"/>
  <c r="I546" i="7"/>
  <c r="I547" i="7"/>
  <c r="I548" i="7"/>
  <c r="I549" i="7"/>
  <c r="I550" i="7"/>
  <c r="I551" i="7"/>
  <c r="I552" i="7"/>
  <c r="I553" i="7"/>
  <c r="I554" i="7"/>
  <c r="I555" i="7"/>
  <c r="I556" i="7"/>
  <c r="I557" i="7"/>
  <c r="I558" i="7"/>
  <c r="I559" i="7"/>
  <c r="I560" i="7"/>
  <c r="I561" i="7"/>
  <c r="I562" i="7"/>
  <c r="I563" i="7"/>
  <c r="I564" i="7"/>
  <c r="I565" i="7"/>
  <c r="I566" i="7"/>
  <c r="I567" i="7"/>
  <c r="I568" i="7"/>
  <c r="I569" i="7"/>
  <c r="I570" i="7"/>
  <c r="I571" i="7"/>
  <c r="I572" i="7"/>
  <c r="I573" i="7"/>
  <c r="I574" i="7"/>
  <c r="I575" i="7"/>
  <c r="I576" i="7"/>
  <c r="I577" i="7"/>
  <c r="I578" i="7"/>
  <c r="I579" i="7"/>
  <c r="I580" i="7"/>
  <c r="I581" i="7"/>
  <c r="I582" i="7"/>
  <c r="I583" i="7"/>
  <c r="I584" i="7"/>
  <c r="I585" i="7"/>
  <c r="I586" i="7"/>
  <c r="I587" i="7"/>
  <c r="I588" i="7"/>
  <c r="I589" i="7"/>
  <c r="I590" i="7"/>
  <c r="I591" i="7"/>
  <c r="I592" i="7"/>
  <c r="I593" i="7"/>
  <c r="I594" i="7"/>
  <c r="I595" i="7"/>
  <c r="I596" i="7"/>
  <c r="I597" i="7"/>
  <c r="I598" i="7"/>
  <c r="I599" i="7"/>
  <c r="I600" i="7"/>
  <c r="I601" i="7"/>
  <c r="I602" i="7"/>
  <c r="I603" i="7"/>
  <c r="I604" i="7"/>
  <c r="I605" i="7"/>
  <c r="I606" i="7"/>
  <c r="I607" i="7"/>
  <c r="I608" i="7"/>
  <c r="I609" i="7"/>
  <c r="I610" i="7"/>
  <c r="I611" i="7"/>
  <c r="I612" i="7"/>
  <c r="I613" i="7"/>
  <c r="I614" i="7"/>
  <c r="I615" i="7"/>
  <c r="I616" i="7"/>
  <c r="I617" i="7"/>
  <c r="I618" i="7"/>
  <c r="I619" i="7"/>
  <c r="I620" i="7"/>
  <c r="I621" i="7"/>
  <c r="I622" i="7"/>
  <c r="I623" i="7"/>
  <c r="I624" i="7"/>
  <c r="I625" i="7"/>
  <c r="I626" i="7"/>
  <c r="I627" i="7"/>
  <c r="I628" i="7"/>
  <c r="I629" i="7"/>
  <c r="I630" i="7"/>
  <c r="I631" i="7"/>
  <c r="I632" i="7"/>
  <c r="I633" i="7"/>
  <c r="I634" i="7"/>
  <c r="I635" i="7"/>
  <c r="I636" i="7"/>
  <c r="I637" i="7"/>
  <c r="I638" i="7"/>
  <c r="I639" i="7"/>
  <c r="I640" i="7"/>
  <c r="I641" i="7"/>
  <c r="I642" i="7"/>
  <c r="I643" i="7"/>
  <c r="I644" i="7"/>
  <c r="I645" i="7"/>
  <c r="I646" i="7"/>
  <c r="I647" i="7"/>
  <c r="I648" i="7"/>
  <c r="I649" i="7"/>
  <c r="I650" i="7"/>
  <c r="I651" i="7"/>
  <c r="I652" i="7"/>
  <c r="I653" i="7"/>
  <c r="I654" i="7"/>
  <c r="I655" i="7"/>
  <c r="I656" i="7"/>
  <c r="I657" i="7"/>
  <c r="I658" i="7"/>
  <c r="I659" i="7"/>
  <c r="I660" i="7"/>
  <c r="I661" i="7"/>
  <c r="I662" i="7"/>
  <c r="I663" i="7"/>
  <c r="I664" i="7"/>
  <c r="I665" i="7"/>
  <c r="I666" i="7"/>
  <c r="I667" i="7"/>
  <c r="I668" i="7"/>
  <c r="I669" i="7"/>
  <c r="I670" i="7"/>
  <c r="I671" i="7"/>
  <c r="I672" i="7"/>
  <c r="I673" i="7"/>
  <c r="I674" i="7"/>
  <c r="I675" i="7"/>
  <c r="I676" i="7"/>
  <c r="I677" i="7"/>
  <c r="I678" i="7"/>
  <c r="I679" i="7"/>
  <c r="I680" i="7"/>
  <c r="I681" i="7"/>
  <c r="I682" i="7"/>
  <c r="I683" i="7"/>
  <c r="I684" i="7"/>
  <c r="I685" i="7"/>
  <c r="I686" i="7"/>
  <c r="I687" i="7"/>
  <c r="I688" i="7"/>
  <c r="I689" i="7"/>
  <c r="I690" i="7"/>
  <c r="I691" i="7"/>
  <c r="I692" i="7"/>
  <c r="I693" i="7"/>
  <c r="I694" i="7"/>
  <c r="I695" i="7"/>
  <c r="I696" i="7"/>
  <c r="I697" i="7"/>
  <c r="I698" i="7"/>
  <c r="I699" i="7"/>
  <c r="I700" i="7"/>
  <c r="I701" i="7"/>
  <c r="I702" i="7"/>
  <c r="I703" i="7"/>
  <c r="I704" i="7"/>
  <c r="I705" i="7"/>
  <c r="I706" i="7"/>
  <c r="I707" i="7"/>
  <c r="I708" i="7"/>
  <c r="I709" i="7"/>
  <c r="I710" i="7"/>
  <c r="I711" i="7"/>
  <c r="I712" i="7"/>
  <c r="I713" i="7"/>
  <c r="I714" i="7"/>
  <c r="I715" i="7"/>
  <c r="I716" i="7"/>
  <c r="I717" i="7"/>
  <c r="I718" i="7"/>
  <c r="I719" i="7"/>
  <c r="I720" i="7"/>
  <c r="I721" i="7"/>
  <c r="I722" i="7"/>
  <c r="I723" i="7"/>
  <c r="I724" i="7"/>
  <c r="I725" i="7"/>
  <c r="I726" i="7"/>
  <c r="I727" i="7"/>
  <c r="I728" i="7"/>
  <c r="I729" i="7"/>
  <c r="I730" i="7"/>
  <c r="I731" i="7"/>
  <c r="I732" i="7"/>
  <c r="I733" i="7"/>
  <c r="I734" i="7"/>
  <c r="I735" i="7"/>
  <c r="I736" i="7"/>
  <c r="I737" i="7"/>
  <c r="I738" i="7"/>
  <c r="I739" i="7"/>
  <c r="I740" i="7"/>
  <c r="I741" i="7"/>
  <c r="I742" i="7"/>
  <c r="I743" i="7"/>
  <c r="I744" i="7"/>
  <c r="I745" i="7"/>
  <c r="I746" i="7"/>
  <c r="I747" i="7"/>
  <c r="I748" i="7"/>
  <c r="I749" i="7"/>
  <c r="I750" i="7"/>
  <c r="I751" i="7"/>
  <c r="I752" i="7"/>
  <c r="I753" i="7"/>
  <c r="I754" i="7"/>
  <c r="I755" i="7"/>
  <c r="I756" i="7"/>
  <c r="I757" i="7"/>
  <c r="I758" i="7"/>
  <c r="I759" i="7"/>
  <c r="I760" i="7"/>
  <c r="I761" i="7"/>
  <c r="I762" i="7"/>
  <c r="I763" i="7"/>
  <c r="I764" i="7"/>
  <c r="I765" i="7"/>
  <c r="I766" i="7"/>
  <c r="I767" i="7"/>
  <c r="I768" i="7"/>
  <c r="I769" i="7"/>
  <c r="I770" i="7"/>
  <c r="I771" i="7"/>
  <c r="I772" i="7"/>
  <c r="I773" i="7"/>
  <c r="I774" i="7"/>
  <c r="I775" i="7"/>
  <c r="I776" i="7"/>
  <c r="I777" i="7"/>
  <c r="I778" i="7"/>
  <c r="I779" i="7"/>
  <c r="I780" i="7"/>
  <c r="I781" i="7"/>
  <c r="I782" i="7"/>
  <c r="I783" i="7"/>
  <c r="I784" i="7"/>
  <c r="I785" i="7"/>
  <c r="I786" i="7"/>
  <c r="I787" i="7"/>
  <c r="I788" i="7"/>
  <c r="I789" i="7"/>
  <c r="I790" i="7"/>
  <c r="I791" i="7"/>
  <c r="I792" i="7"/>
  <c r="I793" i="7"/>
  <c r="I794" i="7"/>
  <c r="I795" i="7"/>
  <c r="I796" i="7"/>
  <c r="I797" i="7"/>
  <c r="I798" i="7"/>
  <c r="I799" i="7"/>
  <c r="I800" i="7"/>
  <c r="I801" i="7"/>
  <c r="I802" i="7"/>
  <c r="I803" i="7"/>
  <c r="I804" i="7"/>
  <c r="I805" i="7"/>
  <c r="I806" i="7"/>
  <c r="I807" i="7"/>
  <c r="I808" i="7"/>
  <c r="I809" i="7"/>
  <c r="I810" i="7"/>
  <c r="I811" i="7"/>
  <c r="I812" i="7"/>
  <c r="I813" i="7"/>
  <c r="I814" i="7"/>
  <c r="I815" i="7"/>
  <c r="I816" i="7"/>
  <c r="I817" i="7"/>
  <c r="I818" i="7"/>
  <c r="I819" i="7"/>
  <c r="I820" i="7"/>
  <c r="I821" i="7"/>
  <c r="I822" i="7"/>
  <c r="I823" i="7"/>
  <c r="I824" i="7"/>
  <c r="I825" i="7"/>
  <c r="I826" i="7"/>
  <c r="I827" i="7"/>
  <c r="I828" i="7"/>
  <c r="I829" i="7"/>
  <c r="I830" i="7"/>
  <c r="I831" i="7"/>
  <c r="I832" i="7"/>
  <c r="I833" i="7"/>
  <c r="I834" i="7"/>
  <c r="I835" i="7"/>
  <c r="I836" i="7"/>
  <c r="I837" i="7"/>
  <c r="I838" i="7"/>
  <c r="I839" i="7"/>
  <c r="I840" i="7"/>
  <c r="I841" i="7"/>
  <c r="I842" i="7"/>
  <c r="I843" i="7"/>
  <c r="I844" i="7"/>
  <c r="I845" i="7"/>
  <c r="I846" i="7"/>
  <c r="I847" i="7"/>
  <c r="I848" i="7"/>
  <c r="I849" i="7"/>
  <c r="I850" i="7"/>
  <c r="I851" i="7"/>
  <c r="I852" i="7"/>
  <c r="I853" i="7"/>
  <c r="I854" i="7"/>
  <c r="I855" i="7"/>
  <c r="I856" i="7"/>
  <c r="I857" i="7"/>
  <c r="I858" i="7"/>
  <c r="I859" i="7"/>
  <c r="I860" i="7"/>
  <c r="I861" i="7"/>
  <c r="I862" i="7"/>
  <c r="I863" i="7"/>
  <c r="I864" i="7"/>
  <c r="I865" i="7"/>
  <c r="I866" i="7"/>
  <c r="I867" i="7"/>
  <c r="I868" i="7"/>
  <c r="I869" i="7"/>
  <c r="I870" i="7"/>
  <c r="I871" i="7"/>
  <c r="I872" i="7"/>
  <c r="I873" i="7"/>
  <c r="I874" i="7"/>
  <c r="I875" i="7"/>
  <c r="I876" i="7"/>
  <c r="I877" i="7"/>
  <c r="I878" i="7"/>
  <c r="I879" i="7"/>
  <c r="I880" i="7"/>
  <c r="I881" i="7"/>
  <c r="I882" i="7"/>
  <c r="I883" i="7"/>
  <c r="I884" i="7"/>
  <c r="I885" i="7"/>
  <c r="I886" i="7"/>
  <c r="I887" i="7"/>
  <c r="I888" i="7"/>
  <c r="I889" i="7"/>
  <c r="I890" i="7"/>
  <c r="I891" i="7"/>
  <c r="I892" i="7"/>
  <c r="I893" i="7"/>
  <c r="I894" i="7"/>
  <c r="I895" i="7"/>
  <c r="I896" i="7"/>
  <c r="I897" i="7"/>
  <c r="I898" i="7"/>
  <c r="I899" i="7"/>
  <c r="I900" i="7"/>
  <c r="I901" i="7"/>
  <c r="I902" i="7"/>
  <c r="I903" i="7"/>
  <c r="I904" i="7"/>
  <c r="I905" i="7"/>
  <c r="I906" i="7"/>
  <c r="I907" i="7"/>
  <c r="I908" i="7"/>
  <c r="I909" i="7"/>
  <c r="I910" i="7"/>
  <c r="I911" i="7"/>
  <c r="I912" i="7"/>
  <c r="I913" i="7"/>
  <c r="I914" i="7"/>
  <c r="I915" i="7"/>
  <c r="I916" i="7"/>
  <c r="I917" i="7"/>
  <c r="I918" i="7"/>
  <c r="I919" i="7"/>
  <c r="I920" i="7"/>
  <c r="I921" i="7"/>
  <c r="I922" i="7"/>
  <c r="I923" i="7"/>
  <c r="I924" i="7"/>
  <c r="I925" i="7"/>
  <c r="I926" i="7"/>
  <c r="I927" i="7"/>
  <c r="I928" i="7"/>
  <c r="I929" i="7"/>
  <c r="I930" i="7"/>
  <c r="I931" i="7"/>
  <c r="I932" i="7"/>
  <c r="I933" i="7"/>
  <c r="I934" i="7"/>
  <c r="I935" i="7"/>
  <c r="I936" i="7"/>
  <c r="I937" i="7"/>
  <c r="I938" i="7"/>
  <c r="I939" i="7"/>
  <c r="I940" i="7"/>
  <c r="I941" i="7"/>
  <c r="I942" i="7"/>
  <c r="I943" i="7"/>
  <c r="I944" i="7"/>
  <c r="I945" i="7"/>
  <c r="I946" i="7"/>
  <c r="I947" i="7"/>
  <c r="I948" i="7"/>
  <c r="I949" i="7"/>
  <c r="I950" i="7"/>
  <c r="I951" i="7"/>
  <c r="I952" i="7"/>
  <c r="I953" i="7"/>
  <c r="I954" i="7"/>
  <c r="I955" i="7"/>
  <c r="I956" i="7"/>
  <c r="I957" i="7"/>
  <c r="I958" i="7"/>
  <c r="I959" i="7"/>
  <c r="I960" i="7"/>
  <c r="I961" i="7"/>
  <c r="I962" i="7"/>
  <c r="I963" i="7"/>
  <c r="I964" i="7"/>
  <c r="I965" i="7"/>
  <c r="I966" i="7"/>
  <c r="I967" i="7"/>
  <c r="I968" i="7"/>
  <c r="I969" i="7"/>
  <c r="I970" i="7"/>
  <c r="I971" i="7"/>
  <c r="I972" i="7"/>
  <c r="I973" i="7"/>
  <c r="I974" i="7"/>
  <c r="I975" i="7"/>
  <c r="I976" i="7"/>
  <c r="I977" i="7"/>
  <c r="I978" i="7"/>
  <c r="I979" i="7"/>
  <c r="I980" i="7"/>
  <c r="I981" i="7"/>
  <c r="I982" i="7"/>
  <c r="I983" i="7"/>
  <c r="I984" i="7"/>
  <c r="I985" i="7"/>
  <c r="I986" i="7"/>
  <c r="I987" i="7"/>
  <c r="I988" i="7"/>
  <c r="I989" i="7"/>
  <c r="I990" i="7"/>
  <c r="I991" i="7"/>
  <c r="I992" i="7"/>
  <c r="I993" i="7"/>
  <c r="I994" i="7"/>
  <c r="I995" i="7"/>
  <c r="I996" i="7"/>
  <c r="I997" i="7"/>
  <c r="I998" i="7"/>
  <c r="I999" i="7"/>
  <c r="I1000" i="7"/>
  <c r="I1001" i="7"/>
  <c r="I1002" i="7"/>
  <c r="I4" i="7"/>
  <c r="I5" i="7"/>
  <c r="I6" i="7"/>
  <c r="I7" i="7"/>
  <c r="I8" i="7"/>
  <c r="I9" i="7"/>
  <c r="I10" i="7"/>
  <c r="I11" i="7"/>
  <c r="I12" i="7"/>
  <c r="I13" i="7"/>
  <c r="I14" i="7"/>
  <c r="I3" i="7"/>
  <c r="G12" i="8" l="1"/>
  <c r="E5" i="4"/>
  <c r="D5" i="4"/>
  <c r="C9" i="4"/>
  <c r="C10" i="4"/>
  <c r="C11" i="4"/>
  <c r="C12" i="4"/>
  <c r="C13" i="4"/>
  <c r="C14" i="4"/>
  <c r="C15" i="4"/>
  <c r="C16" i="4"/>
  <c r="C17" i="4"/>
  <c r="C8" i="4"/>
  <c r="C3" i="3"/>
  <c r="E3" i="3" s="1"/>
  <c r="G6" i="2"/>
  <c r="C7" i="4"/>
  <c r="E4" i="4"/>
  <c r="E7" i="4" s="1"/>
  <c r="D4" i="4"/>
  <c r="D7" i="4" s="1"/>
  <c r="E3" i="4"/>
  <c r="D3" i="4"/>
  <c r="F6" i="2"/>
  <c r="C4" i="3" l="1"/>
  <c r="C5" i="3" s="1"/>
  <c r="D14" i="4"/>
  <c r="E9" i="4"/>
  <c r="D15" i="4"/>
  <c r="D13" i="4"/>
  <c r="E16" i="4"/>
  <c r="E14" i="4"/>
  <c r="D12" i="4"/>
  <c r="D11" i="4"/>
  <c r="E13" i="4"/>
  <c r="D8" i="4"/>
  <c r="D10" i="4"/>
  <c r="E12" i="4"/>
  <c r="E15" i="4"/>
  <c r="D17" i="4"/>
  <c r="D9" i="4"/>
  <c r="E11" i="4"/>
  <c r="D16" i="4"/>
  <c r="E8" i="4"/>
  <c r="E10" i="4"/>
  <c r="E17" i="4"/>
  <c r="D3" i="3"/>
  <c r="F24" i="3" l="1"/>
  <c r="D24" i="3"/>
  <c r="E24" i="3"/>
  <c r="D4" i="3"/>
  <c r="D5" i="3" s="1"/>
  <c r="D6" i="3" s="1"/>
  <c r="D7" i="3" s="1"/>
  <c r="D8" i="3" s="1"/>
  <c r="D9" i="3" s="1"/>
  <c r="D10" i="3" s="1"/>
  <c r="D11" i="3" s="1"/>
  <c r="D12" i="3" s="1"/>
  <c r="D13" i="3" s="1"/>
  <c r="E4" i="3"/>
  <c r="E5" i="3" s="1"/>
  <c r="E6" i="3" s="1"/>
  <c r="E7" i="3" s="1"/>
  <c r="E8" i="3" s="1"/>
  <c r="E9" i="3" s="1"/>
  <c r="E10" i="3" s="1"/>
  <c r="E11" i="3" s="1"/>
  <c r="E12" i="3" s="1"/>
  <c r="E13" i="3" s="1"/>
  <c r="L24" i="3"/>
  <c r="C6" i="3"/>
  <c r="J24" i="3" l="1"/>
  <c r="G24" i="3"/>
  <c r="H24" i="3"/>
  <c r="I24" i="3"/>
  <c r="K24" i="3"/>
  <c r="C7" i="3"/>
  <c r="D42" i="3" l="1"/>
  <c r="C8" i="3"/>
  <c r="C9" i="3" l="1"/>
  <c r="C10" i="3" l="1"/>
  <c r="C11" i="3" l="1"/>
  <c r="C12" i="3" l="1"/>
  <c r="C13" i="3" l="1"/>
  <c r="K4" i="3"/>
  <c r="K5" i="3"/>
  <c r="K6" i="3"/>
  <c r="K7" i="3"/>
  <c r="K8" i="3"/>
  <c r="K9" i="3"/>
  <c r="K10" i="3"/>
  <c r="K11" i="3"/>
  <c r="K12" i="3"/>
  <c r="K13" i="3"/>
  <c r="K3" i="3"/>
  <c r="G8" i="3" s="1"/>
  <c r="J4" i="3"/>
  <c r="J5" i="3"/>
  <c r="J6" i="3"/>
  <c r="J7" i="3"/>
  <c r="J8" i="3"/>
  <c r="J9" i="3"/>
  <c r="J10" i="3"/>
  <c r="J11" i="3"/>
  <c r="J12" i="3"/>
  <c r="J13" i="3"/>
  <c r="J3" i="3"/>
  <c r="F8" i="3" s="1"/>
  <c r="H6" i="2"/>
  <c r="C6" i="2"/>
  <c r="L5" i="3" l="1"/>
  <c r="L4" i="3"/>
  <c r="L9" i="3"/>
  <c r="L13" i="3"/>
  <c r="L12" i="3"/>
  <c r="L11" i="3"/>
  <c r="L7" i="3"/>
  <c r="L10" i="3"/>
  <c r="L8" i="3"/>
  <c r="L3" i="3"/>
  <c r="H6" i="3" s="1"/>
  <c r="F30" i="3" s="1"/>
  <c r="L6" i="3"/>
  <c r="L30" i="3"/>
  <c r="E32" i="3"/>
  <c r="H32" i="3"/>
  <c r="K32" i="3"/>
  <c r="D32" i="3"/>
  <c r="G32" i="3"/>
  <c r="J32" i="3"/>
  <c r="G12" i="3"/>
  <c r="E36" i="3" s="1"/>
  <c r="G9" i="3"/>
  <c r="G7" i="3"/>
  <c r="G6" i="3"/>
  <c r="G3" i="3"/>
  <c r="G13" i="3"/>
  <c r="G5" i="3"/>
  <c r="G4" i="3"/>
  <c r="G11" i="3"/>
  <c r="G10" i="3"/>
  <c r="F9" i="3"/>
  <c r="F3" i="3"/>
  <c r="F7" i="3"/>
  <c r="F6" i="3"/>
  <c r="F13" i="3"/>
  <c r="D37" i="3" s="1"/>
  <c r="F5" i="3"/>
  <c r="F12" i="3"/>
  <c r="D36" i="3" s="1"/>
  <c r="F4" i="3"/>
  <c r="F11" i="3"/>
  <c r="F10" i="3"/>
  <c r="D9" i="1"/>
  <c r="D18" i="1" s="1"/>
  <c r="D8" i="1"/>
  <c r="D17" i="1" s="1"/>
  <c r="D7" i="1"/>
  <c r="D16" i="1" s="1"/>
  <c r="J8" i="1"/>
  <c r="J17" i="1" s="1"/>
  <c r="F5" i="1"/>
  <c r="F9" i="1" s="1"/>
  <c r="F12" i="1" s="1"/>
  <c r="G5" i="1"/>
  <c r="G9" i="1" s="1"/>
  <c r="G15" i="1" s="1"/>
  <c r="H5" i="1"/>
  <c r="H9" i="1" s="1"/>
  <c r="I5" i="1"/>
  <c r="I9" i="1" s="1"/>
  <c r="J5" i="1"/>
  <c r="J9" i="1" s="1"/>
  <c r="K5" i="1"/>
  <c r="K9" i="1" s="1"/>
  <c r="L5" i="1"/>
  <c r="L9" i="1" s="1"/>
  <c r="M5" i="1"/>
  <c r="M9" i="1" s="1"/>
  <c r="N5" i="1"/>
  <c r="N9" i="1" s="1"/>
  <c r="E5" i="1"/>
  <c r="E9" i="1" s="1"/>
  <c r="E18" i="1" s="1"/>
  <c r="F4" i="1"/>
  <c r="F8" i="1" s="1"/>
  <c r="G4" i="1"/>
  <c r="G8" i="1" s="1"/>
  <c r="H4" i="1"/>
  <c r="H8" i="1" s="1"/>
  <c r="I4" i="1"/>
  <c r="I8" i="1" s="1"/>
  <c r="J4" i="1"/>
  <c r="K4" i="1"/>
  <c r="K8" i="1" s="1"/>
  <c r="K14" i="1" s="1"/>
  <c r="L4" i="1"/>
  <c r="L8" i="1" s="1"/>
  <c r="L14" i="1" s="1"/>
  <c r="M4" i="1"/>
  <c r="M8" i="1" s="1"/>
  <c r="M11" i="1" s="1"/>
  <c r="N4" i="1"/>
  <c r="N8" i="1" s="1"/>
  <c r="E4" i="1"/>
  <c r="E8" i="1" s="1"/>
  <c r="N7" i="1"/>
  <c r="N10" i="1" s="1"/>
  <c r="M7" i="1"/>
  <c r="M10" i="1" s="1"/>
  <c r="L7" i="1"/>
  <c r="L10" i="1" s="1"/>
  <c r="K7" i="1"/>
  <c r="K10" i="1" s="1"/>
  <c r="J7" i="1"/>
  <c r="J10" i="1" s="1"/>
  <c r="I7" i="1"/>
  <c r="I10" i="1" s="1"/>
  <c r="H7" i="1"/>
  <c r="H10" i="1" s="1"/>
  <c r="G7" i="1"/>
  <c r="G10" i="1" s="1"/>
  <c r="F7" i="1"/>
  <c r="F10" i="1" s="1"/>
  <c r="E7" i="1"/>
  <c r="E10" i="1" s="1"/>
  <c r="H4" i="3" l="1"/>
  <c r="H12" i="3"/>
  <c r="F36" i="3" s="1"/>
  <c r="H3" i="3"/>
  <c r="L27" i="3" s="1"/>
  <c r="H11" i="3"/>
  <c r="I30" i="3"/>
  <c r="H7" i="3"/>
  <c r="F31" i="3" s="1"/>
  <c r="H5" i="3"/>
  <c r="F29" i="3" s="1"/>
  <c r="H8" i="3"/>
  <c r="F32" i="3" s="1"/>
  <c r="H9" i="3"/>
  <c r="I33" i="3" s="1"/>
  <c r="H10" i="3"/>
  <c r="H13" i="3"/>
  <c r="F37" i="3" s="1"/>
  <c r="G36" i="3"/>
  <c r="H36" i="3"/>
  <c r="L36" i="3"/>
  <c r="J36" i="3"/>
  <c r="H37" i="3"/>
  <c r="G37" i="3"/>
  <c r="K27" i="3"/>
  <c r="E27" i="3"/>
  <c r="H27" i="3"/>
  <c r="J37" i="3"/>
  <c r="D35" i="3"/>
  <c r="G35" i="3"/>
  <c r="J35" i="3"/>
  <c r="D33" i="3"/>
  <c r="G33" i="3"/>
  <c r="J33" i="3"/>
  <c r="F34" i="3"/>
  <c r="L34" i="3"/>
  <c r="I36" i="3"/>
  <c r="L37" i="3"/>
  <c r="J28" i="3"/>
  <c r="D28" i="3"/>
  <c r="G28" i="3"/>
  <c r="E34" i="3"/>
  <c r="K34" i="3"/>
  <c r="H34" i="3"/>
  <c r="F35" i="3"/>
  <c r="L35" i="3"/>
  <c r="I35" i="3"/>
  <c r="E30" i="3"/>
  <c r="H30" i="3"/>
  <c r="K30" i="3"/>
  <c r="K37" i="3"/>
  <c r="E37" i="3"/>
  <c r="E35" i="3"/>
  <c r="K35" i="3"/>
  <c r="H35" i="3"/>
  <c r="I27" i="3"/>
  <c r="E31" i="3"/>
  <c r="K31" i="3"/>
  <c r="H31" i="3"/>
  <c r="D30" i="3"/>
  <c r="J30" i="3"/>
  <c r="G30" i="3"/>
  <c r="D27" i="3"/>
  <c r="J27" i="3"/>
  <c r="G27" i="3"/>
  <c r="D29" i="3"/>
  <c r="G29" i="3"/>
  <c r="J29" i="3"/>
  <c r="K28" i="3"/>
  <c r="E28" i="3"/>
  <c r="H28" i="3"/>
  <c r="F28" i="3"/>
  <c r="L28" i="3"/>
  <c r="I28" i="3"/>
  <c r="E33" i="3"/>
  <c r="H33" i="3"/>
  <c r="K33" i="3"/>
  <c r="D31" i="3"/>
  <c r="J31" i="3"/>
  <c r="G31" i="3"/>
  <c r="D34" i="3"/>
  <c r="J34" i="3"/>
  <c r="G34" i="3"/>
  <c r="E29" i="3"/>
  <c r="K29" i="3"/>
  <c r="H29" i="3"/>
  <c r="K36" i="3"/>
  <c r="E21" i="3"/>
  <c r="E23" i="3" s="1"/>
  <c r="K21" i="3"/>
  <c r="K23" i="3" s="1"/>
  <c r="H21" i="3"/>
  <c r="H23" i="3" s="1"/>
  <c r="J21" i="3"/>
  <c r="J23" i="3" s="1"/>
  <c r="D21" i="3"/>
  <c r="D23" i="3" s="1"/>
  <c r="G21" i="3"/>
  <c r="G23" i="3" s="1"/>
  <c r="L15" i="1"/>
  <c r="L18" i="1"/>
  <c r="N18" i="1"/>
  <c r="N12" i="1"/>
  <c r="M18" i="1"/>
  <c r="M15" i="1"/>
  <c r="J11" i="1"/>
  <c r="D12" i="1"/>
  <c r="J14" i="1"/>
  <c r="J18" i="1"/>
  <c r="J15" i="1"/>
  <c r="J12" i="1"/>
  <c r="H14" i="1"/>
  <c r="H17" i="1"/>
  <c r="H11" i="1"/>
  <c r="F11" i="1"/>
  <c r="F17" i="1"/>
  <c r="F14" i="1"/>
  <c r="I17" i="1"/>
  <c r="I11" i="1"/>
  <c r="I14" i="1"/>
  <c r="E17" i="1"/>
  <c r="E11" i="1"/>
  <c r="E14" i="1"/>
  <c r="I18" i="1"/>
  <c r="I12" i="1"/>
  <c r="I15" i="1"/>
  <c r="N14" i="1"/>
  <c r="N17" i="1"/>
  <c r="N11" i="1"/>
  <c r="H15" i="1"/>
  <c r="H12" i="1"/>
  <c r="H18" i="1"/>
  <c r="G17" i="1"/>
  <c r="G14" i="1"/>
  <c r="G11" i="1"/>
  <c r="K15" i="1"/>
  <c r="K18" i="1"/>
  <c r="K12" i="1"/>
  <c r="E15" i="1"/>
  <c r="E12" i="1"/>
  <c r="F15" i="1"/>
  <c r="N15" i="1"/>
  <c r="G18" i="1"/>
  <c r="K11" i="1"/>
  <c r="K17" i="1"/>
  <c r="D15" i="1"/>
  <c r="L11" i="1"/>
  <c r="F18" i="1"/>
  <c r="M14" i="1"/>
  <c r="L17" i="1"/>
  <c r="D13" i="1"/>
  <c r="G12" i="1"/>
  <c r="L12" i="1"/>
  <c r="D11" i="1"/>
  <c r="D14" i="1"/>
  <c r="M12" i="1"/>
  <c r="M17" i="1"/>
  <c r="K13" i="1"/>
  <c r="J13" i="1"/>
  <c r="L13" i="1"/>
  <c r="H16" i="1"/>
  <c r="J16" i="1"/>
  <c r="K16" i="1"/>
  <c r="L16" i="1"/>
  <c r="M13" i="1"/>
  <c r="F13" i="1"/>
  <c r="N13" i="1"/>
  <c r="M16" i="1"/>
  <c r="G13" i="1"/>
  <c r="F16" i="1"/>
  <c r="N16" i="1"/>
  <c r="H13" i="1"/>
  <c r="G16" i="1"/>
  <c r="D10" i="1"/>
  <c r="E22" i="1" s="1"/>
  <c r="I13" i="1"/>
  <c r="I16" i="1"/>
  <c r="E13" i="1"/>
  <c r="E16" i="1"/>
  <c r="F27" i="3" l="1"/>
  <c r="L31" i="3"/>
  <c r="I37" i="3"/>
  <c r="I31" i="3"/>
  <c r="L29" i="3"/>
  <c r="I21" i="3"/>
  <c r="I23" i="3" s="1"/>
  <c r="I29" i="3"/>
  <c r="N29" i="3" s="1"/>
  <c r="L32" i="3"/>
  <c r="L22" i="3" s="1"/>
  <c r="F21" i="3"/>
  <c r="F23" i="3" s="1"/>
  <c r="F33" i="3"/>
  <c r="I32" i="3"/>
  <c r="L21" i="3"/>
  <c r="L23" i="3" s="1"/>
  <c r="I34" i="3"/>
  <c r="L33" i="3"/>
  <c r="G22" i="3"/>
  <c r="F22" i="3"/>
  <c r="E22" i="3"/>
  <c r="K22" i="3"/>
  <c r="J22" i="3"/>
  <c r="H22" i="3"/>
  <c r="N36" i="3"/>
  <c r="N37" i="3"/>
  <c r="N31" i="3"/>
  <c r="N30" i="3"/>
  <c r="N28" i="3"/>
  <c r="D22" i="3"/>
  <c r="N27" i="3"/>
  <c r="N35" i="3"/>
  <c r="E29" i="1"/>
  <c r="E30" i="1"/>
  <c r="E24" i="1"/>
  <c r="E25" i="1"/>
  <c r="E26" i="1"/>
  <c r="E28" i="1"/>
  <c r="E23" i="1"/>
  <c r="E27" i="1"/>
  <c r="D41" i="3" l="1"/>
  <c r="D39" i="3"/>
  <c r="N32" i="3"/>
  <c r="D40" i="3" s="1"/>
  <c r="N33" i="3"/>
  <c r="I22" i="3"/>
  <c r="N34" i="3"/>
  <c r="G22" i="1"/>
</calcChain>
</file>

<file path=xl/sharedStrings.xml><?xml version="1.0" encoding="utf-8"?>
<sst xmlns="http://schemas.openxmlformats.org/spreadsheetml/2006/main" count="190" uniqueCount="144">
  <si>
    <t>Cash Outflow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</si>
  <si>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</si>
  <si>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</si>
  <si>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</si>
  <si>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</si>
  <si>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</si>
  <si>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</si>
  <si>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</si>
  <si>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</si>
  <si>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</si>
  <si>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</si>
  <si>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</si>
  <si>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NPV</t>
  </si>
  <si>
    <t>Expected NPV</t>
  </si>
  <si>
    <t>Probability</t>
  </si>
  <si>
    <t>IRR</t>
  </si>
  <si>
    <t>ROI</t>
  </si>
  <si>
    <t>Payback Period</t>
  </si>
  <si>
    <t>Cash Inflow (Good)</t>
  </si>
  <si>
    <t>Cash Inflow (Medium)</t>
  </si>
  <si>
    <t>Cash Inflow (Bad)</t>
  </si>
  <si>
    <t>PV (i=%30) (p=good)</t>
  </si>
  <si>
    <t>PV (i=%50) (p=good)</t>
  </si>
  <si>
    <t>PV (i=%30) (p=medium)</t>
  </si>
  <si>
    <t>PV (i=%30) (p=bad)</t>
  </si>
  <si>
    <t>PV (i=%40) (p=good)</t>
  </si>
  <si>
    <t>PV (i=%40) (p=medium)</t>
  </si>
  <si>
    <t>PV (i=%40) (p=bad)</t>
  </si>
  <si>
    <t>PV (i=%50) (p=medium)</t>
  </si>
  <si>
    <t>PV (i=%50) (p=bad)</t>
  </si>
  <si>
    <t>Scenario 1:</t>
  </si>
  <si>
    <t>Scenario 2:</t>
  </si>
  <si>
    <t>Scenario 3:</t>
  </si>
  <si>
    <t>Scenario 4:</t>
  </si>
  <si>
    <t>Scenario 5:</t>
  </si>
  <si>
    <t>Scenario 6:</t>
  </si>
  <si>
    <t>Scenario 7:</t>
  </si>
  <si>
    <t>Scenario 8:</t>
  </si>
  <si>
    <t>Scenario 9:</t>
  </si>
  <si>
    <t>Net Cash Flow (p) (Good)</t>
  </si>
  <si>
    <t>Net Cash Flow(p) Medium)</t>
  </si>
  <si>
    <t>Net Cash Flow (p) (Bad)</t>
  </si>
  <si>
    <t>Risk-free Rate</t>
  </si>
  <si>
    <t>Country Risk Premium</t>
  </si>
  <si>
    <t>Project Spesific Risk Premium</t>
  </si>
  <si>
    <t>Discount Rate</t>
  </si>
  <si>
    <t>Orta</t>
  </si>
  <si>
    <t>Expected IRR</t>
  </si>
  <si>
    <t>Discounted Cashflows</t>
  </si>
  <si>
    <t>Expected ROI</t>
  </si>
  <si>
    <t>Expected Payback Period</t>
  </si>
  <si>
    <t>Faiz Senaryosu</t>
  </si>
  <si>
    <t>Satış Senaryosu</t>
  </si>
  <si>
    <t>NPV Değeri</t>
  </si>
  <si>
    <t>Yüksek</t>
  </si>
  <si>
    <t>Düşük</t>
  </si>
  <si>
    <t>Faiz Olasılık</t>
  </si>
  <si>
    <t>Satış Olasılık</t>
  </si>
  <si>
    <t>Rastgele Faiz</t>
  </si>
  <si>
    <t>Rastgele Satış</t>
  </si>
  <si>
    <t>Simülasyon No</t>
  </si>
  <si>
    <t>ID</t>
  </si>
  <si>
    <t>Score</t>
  </si>
  <si>
    <t>Base</t>
  </si>
  <si>
    <t>Best</t>
  </si>
  <si>
    <t>Worst</t>
  </si>
  <si>
    <t>Cash Flow
(Best) (100%)</t>
  </si>
  <si>
    <t>Cash Flow
(Base) (83%)</t>
  </si>
  <si>
    <t>Cash Flow
(Worst) (66%)</t>
  </si>
  <si>
    <t>Discount Rate Factor
(Best) (i = 39,50)</t>
  </si>
  <si>
    <t>Discount Rate Factor
(Base) (i = 44,08)</t>
  </si>
  <si>
    <t>Discount Rate Factor
(Worst) (i = 49,00)</t>
  </si>
  <si>
    <t>Year</t>
  </si>
  <si>
    <t>Turkey 10-Year Government Bond Rate (28.69%)</t>
  </si>
  <si>
    <t>Turkey's CDS Premium (3.39%)</t>
  </si>
  <si>
    <t>Project Specific Risk Premium (12%)</t>
  </si>
  <si>
    <t>Total Discount Rate (44.08)</t>
  </si>
  <si>
    <t>Component</t>
  </si>
  <si>
    <t>Current Rate</t>
  </si>
  <si>
    <t>Explanation</t>
  </si>
  <si>
    <t>Best Scenario</t>
  </si>
  <si>
    <t>Base Scenario</t>
  </si>
  <si>
    <t>Worst Scenario</t>
  </si>
  <si>
    <t>Seasonal Revenue</t>
  </si>
  <si>
    <t>Investment Amount</t>
  </si>
  <si>
    <t>Seasonal Expense</t>
  </si>
  <si>
    <t>Cash Flow (Year 0)</t>
  </si>
  <si>
    <t>Cash Flow (Year 1)</t>
  </si>
  <si>
    <t>Cash Flow (Year 2)</t>
  </si>
  <si>
    <t>Cash Flow (Year 3)</t>
  </si>
  <si>
    <t>Cash Flow (Year 4)</t>
  </si>
  <si>
    <t>Cash Flow (Year 5)</t>
  </si>
  <si>
    <t>Cash Flow (Year 6)</t>
  </si>
  <si>
    <t>Cash Flow (Year 7)</t>
  </si>
  <si>
    <t>Cash Flow (Year 8)</t>
  </si>
  <si>
    <t>Cash Flow (Year 9)</t>
  </si>
  <si>
    <t>Cash Flow (Year 10)</t>
  </si>
  <si>
    <t>Capacity Using Rate
(Best) (100%)</t>
  </si>
  <si>
    <t>Capacity Using Rate
(Base) (83%)</t>
  </si>
  <si>
    <t>Capacity Using Rate
(Worst) (66%)</t>
  </si>
  <si>
    <t>Willingness to Rent</t>
  </si>
  <si>
    <t>Competition</t>
  </si>
  <si>
    <t>Economy</t>
  </si>
  <si>
    <t>Affordability</t>
  </si>
  <si>
    <t>Attractiveness</t>
  </si>
  <si>
    <t>Marketing</t>
  </si>
  <si>
    <t>Accessibility</t>
  </si>
  <si>
    <t>Alternative Use</t>
  </si>
  <si>
    <t>Environmental Sensitivity</t>
  </si>
  <si>
    <t>Factor</t>
  </si>
  <si>
    <t>Coefficient</t>
  </si>
  <si>
    <t>Weighted Score</t>
  </si>
  <si>
    <t>Number of Selection</t>
  </si>
  <si>
    <t>Probability (%)</t>
  </si>
  <si>
    <t>Monte Carlo Simulation</t>
  </si>
  <si>
    <t>Index Scoring Model</t>
  </si>
  <si>
    <t>Expected
Cashflow</t>
  </si>
  <si>
    <t>Cashflow
Scenario</t>
  </si>
  <si>
    <t>Discount Rate
Scenario</t>
  </si>
  <si>
    <t>Probability
(Monte Carlo)</t>
  </si>
  <si>
    <t>Payback
Period</t>
  </si>
  <si>
    <t>Product</t>
  </si>
  <si>
    <t>Demand
Coefficient</t>
  </si>
  <si>
    <t>Food Inflation Expectations</t>
  </si>
  <si>
    <t>Expected
2025 Prices</t>
  </si>
  <si>
    <t>Weighted Basket Share</t>
  </si>
  <si>
    <t>BASKET</t>
  </si>
  <si>
    <t>Tomato</t>
  </si>
  <si>
    <t>Cucumber</t>
  </si>
  <si>
    <t>Pepper</t>
  </si>
  <si>
    <t>Eggplant</t>
  </si>
  <si>
    <t>Bean</t>
  </si>
  <si>
    <t>Zucchini</t>
  </si>
  <si>
    <t>Stuffed Pepper</t>
  </si>
  <si>
    <t>Gherkin</t>
  </si>
  <si>
    <t>Okra</t>
  </si>
  <si>
    <t>Seasonal Vegetable Price Forecasts</t>
  </si>
  <si>
    <t>The Total Price the Consumer would Normally Pay for Products (TOTAL 270 KG):</t>
  </si>
  <si>
    <t>Our Price</t>
  </si>
  <si>
    <t>Discount Rate
(Best)</t>
  </si>
  <si>
    <t>Discount Rate
(Base)</t>
  </si>
  <si>
    <t>Discount Rate
(Worst)</t>
  </si>
  <si>
    <t>2024 Wholesale
Prices</t>
  </si>
  <si>
    <t>17500 TL + 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</si>
</sst>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[$₺-41F]* #,##0.00_-;\-[$₺-41F]* #,##0.00_-;_-[$₺-41F]* &quot;-&quot;??_-;_-@_-"/>
    <numFmt numFmtId="165" formatCode="0.0000"/>
    <numFmt numFmtId="166" formatCode="_-[$₺-41F]* #,##0.0000_-;\-[$₺-41F]* #,##0.0000_-;_-[$₺-41F]* &quot;-&quot;????_-;_-@_-"/>
    <numFmt numFmtId="167" formatCode="_-[$₺-41F]* #,##0.00_-;\-[$₺-41F]* #,##0.00_-;_-[$₺-41F]* &quot;-&quot;??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6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charset val="162"/>
      <scheme val="minor"/>
    </font>
    <font>
      <b/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1"/>
      <name val="Calibri"/>
      <family val="2"/>
      <charset val="16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3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2" borderId="1" xfId="0" applyFill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/>
    <xf numFmtId="0" fontId="2" fillId="3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3" fillId="0" borderId="0" xfId="0" applyFont="1"/>
    <xf numFmtId="2" fontId="0" fillId="0" borderId="1" xfId="0" applyNumberFormat="1" applyBorder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" fillId="8" borderId="0" xfId="0" applyFont="1" applyFill="1"/>
    <xf numFmtId="0" fontId="3" fillId="9" borderId="0" xfId="0" applyFont="1" applyFill="1"/>
    <xf numFmtId="0" fontId="3" fillId="7" borderId="0" xfId="0" applyFont="1" applyFill="1"/>
    <xf numFmtId="0" fontId="0" fillId="0" borderId="0" xfId="0" applyFill="1"/>
    <xf numFmtId="0" fontId="0" fillId="0" borderId="0" xfId="0" applyAlignment="1">
      <alignment vertical="center"/>
    </xf>
    <xf numFmtId="0" fontId="10" fillId="0" borderId="0" xfId="0" applyFont="1" applyFill="1" applyAlignment="1">
      <alignment vertical="center" wrapText="1"/>
    </xf>
    <xf numFmtId="0" fontId="2" fillId="6" borderId="0" xfId="0" applyFont="1" applyFill="1" applyAlignment="1">
      <alignment horizontal="center" vertical="center"/>
    </xf>
    <xf numFmtId="0" fontId="0" fillId="0" borderId="0" xfId="0" applyBorder="1"/>
    <xf numFmtId="166" fontId="0" fillId="0" borderId="0" xfId="0" applyNumberFormat="1" applyBorder="1"/>
    <xf numFmtId="166" fontId="0" fillId="0" borderId="0" xfId="0" applyNumberFormat="1" applyFill="1" applyBorder="1"/>
    <xf numFmtId="0" fontId="11" fillId="0" borderId="0" xfId="0" applyFont="1" applyBorder="1" applyAlignment="1">
      <alignment horizontal="center" vertical="top"/>
    </xf>
    <xf numFmtId="9" fontId="0" fillId="0" borderId="1" xfId="1" applyFont="1" applyBorder="1" applyAlignment="1">
      <alignment horizontal="center" vertical="center"/>
    </xf>
    <xf numFmtId="164" fontId="0" fillId="0" borderId="1" xfId="0" applyNumberFormat="1" applyBorder="1" applyAlignment="1">
      <alignment horizontal="left"/>
    </xf>
    <xf numFmtId="164" fontId="13" fillId="11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8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164" fontId="8" fillId="13" borderId="1" xfId="0" applyNumberFormat="1" applyFont="1" applyFill="1" applyBorder="1" applyAlignment="1">
      <alignment vertical="center"/>
    </xf>
    <xf numFmtId="164" fontId="13" fillId="13" borderId="1" xfId="0" applyNumberFormat="1" applyFont="1" applyFill="1" applyBorder="1" applyAlignment="1">
      <alignment horizontal="center" vertical="center"/>
    </xf>
    <xf numFmtId="10" fontId="0" fillId="0" borderId="1" xfId="0" applyNumberFormat="1" applyBorder="1"/>
    <xf numFmtId="164" fontId="0" fillId="0" borderId="0" xfId="0" applyNumberFormat="1"/>
    <xf numFmtId="164" fontId="8" fillId="11" borderId="1" xfId="0" applyNumberFormat="1" applyFont="1" applyFill="1" applyBorder="1" applyAlignment="1">
      <alignment horizontal="center" vertical="center"/>
    </xf>
    <xf numFmtId="164" fontId="7" fillId="0" borderId="3" xfId="0" applyNumberFormat="1" applyFont="1" applyBorder="1" applyAlignment="1">
      <alignment horizontal="center" vertical="center"/>
    </xf>
    <xf numFmtId="164" fontId="7" fillId="0" borderId="4" xfId="0" applyNumberFormat="1" applyFont="1" applyBorder="1" applyAlignment="1">
      <alignment horizontal="center" vertical="center"/>
    </xf>
    <xf numFmtId="164" fontId="7" fillId="0" borderId="2" xfId="0" applyNumberFormat="1" applyFont="1" applyBorder="1" applyAlignment="1">
      <alignment horizontal="center" vertical="center"/>
    </xf>
    <xf numFmtId="164" fontId="7" fillId="0" borderId="5" xfId="0" applyNumberFormat="1" applyFont="1" applyBorder="1" applyAlignment="1">
      <alignment horizontal="center" vertical="center"/>
    </xf>
    <xf numFmtId="164" fontId="7" fillId="0" borderId="6" xfId="0" applyNumberFormat="1" applyFont="1" applyBorder="1" applyAlignment="1">
      <alignment horizontal="center" vertical="center"/>
    </xf>
    <xf numFmtId="164" fontId="7" fillId="0" borderId="7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10" fontId="4" fillId="0" borderId="1" xfId="1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0" fillId="0" borderId="10" xfId="1" applyNumberFormat="1" applyFont="1" applyBorder="1" applyAlignment="1">
      <alignment horizontal="center"/>
    </xf>
    <xf numFmtId="165" fontId="0" fillId="0" borderId="0" xfId="1" applyNumberFormat="1" applyFont="1" applyBorder="1" applyAlignment="1">
      <alignment horizontal="center"/>
    </xf>
    <xf numFmtId="165" fontId="0" fillId="0" borderId="11" xfId="1" applyNumberFormat="1" applyFont="1" applyBorder="1" applyAlignment="1">
      <alignment horizontal="center"/>
    </xf>
    <xf numFmtId="165" fontId="0" fillId="0" borderId="12" xfId="1" applyNumberFormat="1" applyFont="1" applyBorder="1" applyAlignment="1">
      <alignment horizontal="center"/>
    </xf>
    <xf numFmtId="165" fontId="0" fillId="0" borderId="15" xfId="1" applyNumberFormat="1" applyFont="1" applyBorder="1" applyAlignment="1">
      <alignment horizontal="center"/>
    </xf>
    <xf numFmtId="165" fontId="0" fillId="0" borderId="13" xfId="1" applyNumberFormat="1" applyFont="1" applyBorder="1" applyAlignment="1">
      <alignment horizontal="center"/>
    </xf>
    <xf numFmtId="0" fontId="13" fillId="2" borderId="8" xfId="0" applyFont="1" applyFill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6" fillId="6" borderId="0" xfId="0" applyFont="1" applyFill="1" applyBorder="1" applyAlignment="1">
      <alignment horizontal="center" vertical="center" wrapText="1"/>
    </xf>
    <xf numFmtId="0" fontId="16" fillId="6" borderId="0" xfId="0" applyFont="1" applyFill="1" applyBorder="1" applyAlignment="1">
      <alignment horizontal="center" vertical="center"/>
    </xf>
    <xf numFmtId="0" fontId="16" fillId="6" borderId="0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164" fontId="0" fillId="0" borderId="1" xfId="0" applyNumberFormat="1" applyFill="1" applyBorder="1"/>
    <xf numFmtId="165" fontId="0" fillId="0" borderId="1" xfId="0" applyNumberFormat="1" applyBorder="1" applyAlignment="1">
      <alignment horizontal="center"/>
    </xf>
    <xf numFmtId="0" fontId="16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6" fillId="6" borderId="8" xfId="0" applyFont="1" applyFill="1" applyBorder="1" applyAlignment="1">
      <alignment horizontal="center" vertical="center"/>
    </xf>
    <xf numFmtId="164" fontId="9" fillId="14" borderId="9" xfId="0" applyNumberFormat="1" applyFont="1" applyFill="1" applyBorder="1" applyAlignment="1">
      <alignment horizontal="center"/>
    </xf>
    <xf numFmtId="0" fontId="16" fillId="6" borderId="10" xfId="0" applyFont="1" applyFill="1" applyBorder="1" applyAlignment="1">
      <alignment horizontal="center" vertical="center"/>
    </xf>
    <xf numFmtId="2" fontId="9" fillId="14" borderId="11" xfId="0" applyNumberFormat="1" applyFont="1" applyFill="1" applyBorder="1" applyAlignment="1">
      <alignment horizontal="center"/>
    </xf>
    <xf numFmtId="9" fontId="9" fillId="14" borderId="11" xfId="1" applyFont="1" applyFill="1" applyBorder="1" applyAlignment="1">
      <alignment horizontal="center"/>
    </xf>
    <xf numFmtId="0" fontId="16" fillId="6" borderId="12" xfId="0" applyFont="1" applyFill="1" applyBorder="1" applyAlignment="1">
      <alignment horizontal="center" vertical="center"/>
    </xf>
    <xf numFmtId="2" fontId="9" fillId="14" borderId="13" xfId="0" applyNumberFormat="1" applyFont="1" applyFill="1" applyBorder="1" applyAlignment="1">
      <alignment horizontal="center"/>
    </xf>
    <xf numFmtId="10" fontId="0" fillId="0" borderId="1" xfId="1" applyNumberFormat="1" applyFont="1" applyBorder="1" applyAlignment="1">
      <alignment horizontal="right"/>
    </xf>
    <xf numFmtId="10" fontId="0" fillId="0" borderId="1" xfId="1" applyNumberFormat="1" applyFont="1" applyBorder="1"/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10" fontId="0" fillId="0" borderId="17" xfId="1" applyNumberFormat="1" applyFont="1" applyBorder="1" applyAlignment="1">
      <alignment horizontal="right"/>
    </xf>
    <xf numFmtId="10" fontId="0" fillId="0" borderId="18" xfId="1" applyNumberFormat="1" applyFont="1" applyBorder="1" applyAlignment="1">
      <alignment horizontal="right"/>
    </xf>
    <xf numFmtId="10" fontId="9" fillId="0" borderId="18" xfId="1" applyNumberFormat="1" applyFont="1" applyBorder="1" applyAlignment="1">
      <alignment horizontal="right"/>
    </xf>
    <xf numFmtId="0" fontId="13" fillId="6" borderId="0" xfId="0" applyFont="1" applyFill="1" applyBorder="1" applyAlignment="1">
      <alignment horizontal="center" vertical="center"/>
    </xf>
    <xf numFmtId="0" fontId="13" fillId="6" borderId="16" xfId="0" applyFont="1" applyFill="1" applyBorder="1" applyAlignment="1">
      <alignment horizontal="center" vertical="center" wrapText="1"/>
    </xf>
    <xf numFmtId="0" fontId="13" fillId="6" borderId="0" xfId="0" applyFont="1" applyFill="1" applyBorder="1" applyAlignment="1">
      <alignment horizontal="center" vertical="center" wrapText="1"/>
    </xf>
    <xf numFmtId="10" fontId="17" fillId="0" borderId="17" xfId="1" applyNumberFormat="1" applyFont="1" applyBorder="1" applyAlignment="1">
      <alignment horizontal="right"/>
    </xf>
    <xf numFmtId="10" fontId="17" fillId="0" borderId="1" xfId="1" applyNumberFormat="1" applyFont="1" applyBorder="1"/>
    <xf numFmtId="0" fontId="0" fillId="0" borderId="0" xfId="0" applyFill="1" applyBorder="1" applyAlignment="1">
      <alignment horizontal="left"/>
    </xf>
    <xf numFmtId="0" fontId="0" fillId="0" borderId="1" xfId="0" applyBorder="1" applyAlignment="1">
      <alignment horizontal="center"/>
    </xf>
    <xf numFmtId="0" fontId="15" fillId="6" borderId="1" xfId="0" applyFont="1" applyFill="1" applyBorder="1" applyAlignment="1">
      <alignment horizontal="center" vertical="center" textRotation="90"/>
    </xf>
    <xf numFmtId="0" fontId="14" fillId="6" borderId="1" xfId="0" applyFont="1" applyFill="1" applyBorder="1" applyAlignment="1">
      <alignment horizontal="center" vertical="top"/>
    </xf>
    <xf numFmtId="167" fontId="0" fillId="0" borderId="1" xfId="0" applyNumberFormat="1" applyBorder="1" applyAlignment="1">
      <alignment horizontal="right"/>
    </xf>
    <xf numFmtId="0" fontId="2" fillId="6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2" fillId="15" borderId="1" xfId="0" applyFont="1" applyFill="1" applyBorder="1" applyAlignment="1">
      <alignment horizontal="center"/>
    </xf>
    <xf numFmtId="9" fontId="12" fillId="15" borderId="1" xfId="1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 vertical="center" textRotation="90"/>
    </xf>
    <xf numFmtId="0" fontId="8" fillId="6" borderId="16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9" fontId="13" fillId="12" borderId="1" xfId="0" applyNumberFormat="1" applyFont="1" applyFill="1" applyBorder="1" applyAlignment="1">
      <alignment horizontal="center" vertical="center"/>
    </xf>
    <xf numFmtId="164" fontId="13" fillId="12" borderId="1" xfId="0" applyNumberFormat="1" applyFont="1" applyFill="1" applyBorder="1" applyAlignment="1">
      <alignment horizontal="center" vertical="center"/>
    </xf>
    <xf numFmtId="9" fontId="13" fillId="12" borderId="1" xfId="0" applyNumberFormat="1" applyFont="1" applyFill="1" applyBorder="1" applyAlignment="1">
      <alignment horizontal="right" vertical="center"/>
    </xf>
    <xf numFmtId="0" fontId="2" fillId="12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left"/>
    </xf>
    <xf numFmtId="0" fontId="0" fillId="6" borderId="1" xfId="0" applyFill="1" applyBorder="1"/>
    <xf numFmtId="0" fontId="2" fillId="6" borderId="1" xfId="0" applyFont="1" applyFill="1" applyBorder="1" applyAlignment="1">
      <alignment horizontal="center" vertical="center" wrapText="1"/>
    </xf>
    <xf numFmtId="164" fontId="0" fillId="10" borderId="1" xfId="0" applyNumberFormat="1" applyFill="1" applyBorder="1"/>
    <xf numFmtId="9" fontId="2" fillId="6" borderId="1" xfId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EFAAC"/>
      <color rgb="FFDFE498"/>
      <color rgb="FFF3F5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30"/>
  <sheetViews>
    <sheetView showGridLines="0" zoomScale="115" zoomScaleNormal="115" workbookViewId="0">
      <selection activeCell="C24" sqref="C24"/>
    </sheetView>
  </sheetViews>
  <sheetFormatPr defaultRowHeight="14.4" x14ac:dyDescent="0.3"/>
  <cols>
    <col min="1" max="1" width="2.21875" customWidth="1"/>
    <col min="2" max="2" width="10.6640625" customWidth="1"/>
    <col min="3" max="3" width="23.44140625" bestFit="1" customWidth="1"/>
    <col min="4" max="4" width="13.33203125" bestFit="1" customWidth="1"/>
    <col min="5" max="14" width="14.6640625" bestFit="1" customWidth="1"/>
    <col min="17" max="17" width="14.6640625" bestFit="1" customWidth="1"/>
    <col min="18" max="18" width="11.5546875" customWidth="1"/>
    <col min="24" max="25" width="7.77734375" customWidth="1"/>
  </cols>
  <sheetData>
    <row r="2" spans="2:14" x14ac:dyDescent="0.3">
      <c r="C2" s="3"/>
      <c r="D2" s="4" t="s">
        <v>1</v>
      </c>
      <c r="E2" s="4" t="s">
        <v>2</v>
      </c>
      <c r="F2" s="4" t="s">
        <v>3</v>
      </c>
      <c r="G2" s="4" t="s">
        <v>4</v>
      </c>
      <c r="H2" s="4" t="s">
        <v>5</v>
      </c>
      <c r="I2" s="4" t="s">
        <v>6</v>
      </c>
      <c r="J2" s="4" t="s">
        <v>7</v>
      </c>
      <c r="K2" s="4" t="s">
        <v>8</v>
      </c>
      <c r="L2" s="4" t="s">
        <v>9</v>
      </c>
      <c r="M2" s="4" t="s">
        <v>10</v>
      </c>
      <c r="N2" s="4" t="s">
        <v>11</v>
      </c>
    </row>
    <row r="3" spans="2:14" x14ac:dyDescent="0.3">
      <c r="C3" s="8" t="s">
        <v>18</v>
      </c>
      <c r="D3" s="2">
        <v>0</v>
      </c>
      <c r="E3" s="2">
        <v>1400000</v>
      </c>
      <c r="F3" s="2">
        <v>1400000</v>
      </c>
      <c r="G3" s="2">
        <v>1400000</v>
      </c>
      <c r="H3" s="2">
        <v>1400000</v>
      </c>
      <c r="I3" s="2">
        <v>1400000</v>
      </c>
      <c r="J3" s="2">
        <v>1400000</v>
      </c>
      <c r="K3" s="2">
        <v>1400000</v>
      </c>
      <c r="L3" s="2">
        <v>1400000</v>
      </c>
      <c r="M3" s="2">
        <v>1400000</v>
      </c>
      <c r="N3" s="2">
        <v>1400000</v>
      </c>
    </row>
    <row r="4" spans="2:14" x14ac:dyDescent="0.3">
      <c r="C4" s="8" t="s">
        <v>19</v>
      </c>
      <c r="D4" s="2">
        <v>0</v>
      </c>
      <c r="E4" s="2">
        <f>E3*0.75</f>
        <v>1050000</v>
      </c>
      <c r="F4" s="2">
        <f t="shared" ref="F4:N4" si="0">F3*0.75</f>
        <v>1050000</v>
      </c>
      <c r="G4" s="2">
        <f t="shared" si="0"/>
        <v>1050000</v>
      </c>
      <c r="H4" s="2">
        <f t="shared" si="0"/>
        <v>1050000</v>
      </c>
      <c r="I4" s="2">
        <f t="shared" si="0"/>
        <v>1050000</v>
      </c>
      <c r="J4" s="2">
        <f t="shared" si="0"/>
        <v>1050000</v>
      </c>
      <c r="K4" s="2">
        <f t="shared" si="0"/>
        <v>1050000</v>
      </c>
      <c r="L4" s="2">
        <f t="shared" si="0"/>
        <v>1050000</v>
      </c>
      <c r="M4" s="2">
        <f t="shared" si="0"/>
        <v>1050000</v>
      </c>
      <c r="N4" s="2">
        <f t="shared" si="0"/>
        <v>1050000</v>
      </c>
    </row>
    <row r="5" spans="2:14" x14ac:dyDescent="0.3">
      <c r="C5" s="8" t="s">
        <v>20</v>
      </c>
      <c r="D5" s="2">
        <v>0</v>
      </c>
      <c r="E5" s="2">
        <f>E3*0.5</f>
        <v>700000</v>
      </c>
      <c r="F5" s="2">
        <f t="shared" ref="F5:N5" si="1">F3*0.5</f>
        <v>700000</v>
      </c>
      <c r="G5" s="2">
        <f t="shared" si="1"/>
        <v>700000</v>
      </c>
      <c r="H5" s="2">
        <f t="shared" si="1"/>
        <v>700000</v>
      </c>
      <c r="I5" s="2">
        <f t="shared" si="1"/>
        <v>700000</v>
      </c>
      <c r="J5" s="2">
        <f t="shared" si="1"/>
        <v>700000</v>
      </c>
      <c r="K5" s="2">
        <f t="shared" si="1"/>
        <v>700000</v>
      </c>
      <c r="L5" s="2">
        <f t="shared" si="1"/>
        <v>700000</v>
      </c>
      <c r="M5" s="2">
        <f t="shared" si="1"/>
        <v>700000</v>
      </c>
      <c r="N5" s="2">
        <f t="shared" si="1"/>
        <v>700000</v>
      </c>
    </row>
    <row r="6" spans="2:14" x14ac:dyDescent="0.3">
      <c r="C6" s="7" t="s">
        <v>0</v>
      </c>
      <c r="D6" s="2">
        <v>-342534</v>
      </c>
      <c r="E6" s="2">
        <v>-525207</v>
      </c>
      <c r="F6" s="2">
        <v>-525207</v>
      </c>
      <c r="G6" s="2">
        <v>-525207</v>
      </c>
      <c r="H6" s="2">
        <v>-525207</v>
      </c>
      <c r="I6" s="2">
        <v>-525207</v>
      </c>
      <c r="J6" s="2">
        <v>-525207</v>
      </c>
      <c r="K6" s="2">
        <v>-525207</v>
      </c>
      <c r="L6" s="2">
        <v>-525207</v>
      </c>
      <c r="M6" s="2">
        <v>-525207</v>
      </c>
      <c r="N6" s="2">
        <v>-525207</v>
      </c>
    </row>
    <row r="7" spans="2:14" x14ac:dyDescent="0.3">
      <c r="C7" s="6" t="s">
        <v>39</v>
      </c>
      <c r="D7" s="2">
        <f t="shared" ref="D7:N7" si="2">SUM(D3,D6)</f>
        <v>-342534</v>
      </c>
      <c r="E7" s="2">
        <f t="shared" si="2"/>
        <v>874793</v>
      </c>
      <c r="F7" s="2">
        <f t="shared" si="2"/>
        <v>874793</v>
      </c>
      <c r="G7" s="2">
        <f t="shared" si="2"/>
        <v>874793</v>
      </c>
      <c r="H7" s="2">
        <f t="shared" si="2"/>
        <v>874793</v>
      </c>
      <c r="I7" s="2">
        <f t="shared" si="2"/>
        <v>874793</v>
      </c>
      <c r="J7" s="2">
        <f t="shared" si="2"/>
        <v>874793</v>
      </c>
      <c r="K7" s="2">
        <f t="shared" si="2"/>
        <v>874793</v>
      </c>
      <c r="L7" s="2">
        <f t="shared" si="2"/>
        <v>874793</v>
      </c>
      <c r="M7" s="2">
        <f t="shared" si="2"/>
        <v>874793</v>
      </c>
      <c r="N7" s="2">
        <f t="shared" si="2"/>
        <v>874793</v>
      </c>
    </row>
    <row r="8" spans="2:14" x14ac:dyDescent="0.3">
      <c r="C8" s="6" t="s">
        <v>40</v>
      </c>
      <c r="D8" s="2">
        <f>SUM(D4,D6)</f>
        <v>-342534</v>
      </c>
      <c r="E8" s="2">
        <f>SUM(E4,E6)</f>
        <v>524793</v>
      </c>
      <c r="F8" s="2">
        <f t="shared" ref="F8:N8" si="3">SUM(F4,F6)</f>
        <v>524793</v>
      </c>
      <c r="G8" s="2">
        <f t="shared" si="3"/>
        <v>524793</v>
      </c>
      <c r="H8" s="2">
        <f t="shared" si="3"/>
        <v>524793</v>
      </c>
      <c r="I8" s="2">
        <f t="shared" si="3"/>
        <v>524793</v>
      </c>
      <c r="J8" s="2">
        <f t="shared" si="3"/>
        <v>524793</v>
      </c>
      <c r="K8" s="2">
        <f t="shared" si="3"/>
        <v>524793</v>
      </c>
      <c r="L8" s="2">
        <f t="shared" si="3"/>
        <v>524793</v>
      </c>
      <c r="M8" s="2">
        <f t="shared" si="3"/>
        <v>524793</v>
      </c>
      <c r="N8" s="2">
        <f t="shared" si="3"/>
        <v>524793</v>
      </c>
    </row>
    <row r="9" spans="2:14" x14ac:dyDescent="0.3">
      <c r="C9" s="6" t="s">
        <v>41</v>
      </c>
      <c r="D9" s="2">
        <f>SUM(D5,D6)</f>
        <v>-342534</v>
      </c>
      <c r="E9" s="2">
        <f>SUM(E5,E6)</f>
        <v>174793</v>
      </c>
      <c r="F9" s="2">
        <f t="shared" ref="F9:N9" si="4">SUM(F5,F6)</f>
        <v>174793</v>
      </c>
      <c r="G9" s="2">
        <f t="shared" si="4"/>
        <v>174793</v>
      </c>
      <c r="H9" s="2">
        <f t="shared" si="4"/>
        <v>174793</v>
      </c>
      <c r="I9" s="2">
        <f t="shared" si="4"/>
        <v>174793</v>
      </c>
      <c r="J9" s="2">
        <f t="shared" si="4"/>
        <v>174793</v>
      </c>
      <c r="K9" s="2">
        <f t="shared" si="4"/>
        <v>174793</v>
      </c>
      <c r="L9" s="2">
        <f t="shared" si="4"/>
        <v>174793</v>
      </c>
      <c r="M9" s="2">
        <f t="shared" si="4"/>
        <v>174793</v>
      </c>
      <c r="N9" s="2">
        <f t="shared" si="4"/>
        <v>174793</v>
      </c>
    </row>
    <row r="10" spans="2:14" x14ac:dyDescent="0.3">
      <c r="B10" s="14" t="s">
        <v>30</v>
      </c>
      <c r="C10" s="9" t="s">
        <v>21</v>
      </c>
      <c r="D10" s="2">
        <f>D7</f>
        <v>-342534</v>
      </c>
      <c r="E10" s="2">
        <f>E7/(1+0.3)</f>
        <v>672917.69230769225</v>
      </c>
      <c r="F10" s="2">
        <f>F7/((1+0.3)*(1+0.3))</f>
        <v>517628.99408284016</v>
      </c>
      <c r="G10" s="2">
        <f>G7/((1+0.3)*(1+0.3)*(1+0.3))</f>
        <v>398176.14929449238</v>
      </c>
      <c r="H10" s="2">
        <f>H7/((1+0.3)*(1+0.3)*(1+0.3)*(1+0.3))</f>
        <v>306289.34561114799</v>
      </c>
      <c r="I10" s="2">
        <f>I7/((1+0.3)*(1+0.3)*(1+0.3)*(1+0.3)*(1+0.3))</f>
        <v>235607.18893165229</v>
      </c>
      <c r="J10" s="2">
        <f>J7/((1+0.3)*(1+0.3)*(1+0.3)*(1+0.3)*(1+0.3)*(1+0.3))</f>
        <v>181236.29917819405</v>
      </c>
      <c r="K10" s="2">
        <f>K7/((1+0.3)*(1+0.3)*(1+0.3)*(1+0.3)*(1+0.3)*(1+0.3)*(1+0.3))</f>
        <v>139412.53782938005</v>
      </c>
      <c r="L10" s="2">
        <f>L7/((1+0.3)*(1+0.3)*(1+0.3)*(1+0.3)*(1+0.3)*(1+0.3)*(1+0.3)*(1+0.3))</f>
        <v>107240.41371490771</v>
      </c>
      <c r="M10" s="2">
        <f>M7/((1+0.3)*(1+0.3)*(1+0.3)*(1+0.3)*(1+0.3)*(1+0.3)*(1+0.3)*(1+0.3)*(1+0.3))</f>
        <v>82492.625934544383</v>
      </c>
      <c r="N10" s="2">
        <f>N7/((1+0.3)*(1+0.3)*(1+0.3)*(1+0.3)*(1+0.3)*(1+0.3)*(1+0.3)*(1+0.3)*(1+0.3)*(1+0.3))</f>
        <v>63455.866103495675</v>
      </c>
    </row>
    <row r="11" spans="2:14" x14ac:dyDescent="0.3">
      <c r="B11" s="10" t="s">
        <v>31</v>
      </c>
      <c r="C11" s="9" t="s">
        <v>23</v>
      </c>
      <c r="D11" s="2">
        <f>D8</f>
        <v>-342534</v>
      </c>
      <c r="E11" s="2">
        <f>E8/(1+0.3)</f>
        <v>403686.92307692306</v>
      </c>
      <c r="F11" s="2">
        <f>F8/((1+0.3)*(1+0.3))</f>
        <v>310528.40236686385</v>
      </c>
      <c r="G11" s="2">
        <f>G8/((1+0.3)*(1+0.3)*(1+0.3))</f>
        <v>238868.00182066447</v>
      </c>
      <c r="H11" s="2">
        <f>H8/((1+0.3)*(1+0.3)*(1+0.3)*(1+0.3))</f>
        <v>183744.61678512651</v>
      </c>
      <c r="I11" s="2">
        <f t="shared" ref="I11:I12" si="5">I8/((1+0.3)*(1+0.3)*(1+0.3)*(1+0.3)*(1+0.3))</f>
        <v>141342.01291163577</v>
      </c>
      <c r="J11" s="2">
        <f t="shared" ref="J11:J12" si="6">J8/((1+0.3)*(1+0.3)*(1+0.3)*(1+0.3)*(1+0.3)*(1+0.3))</f>
        <v>108724.62531664291</v>
      </c>
      <c r="K11" s="2">
        <f t="shared" ref="K11:K12" si="7">K8/((1+0.3)*(1+0.3)*(1+0.3)*(1+0.3)*(1+0.3)*(1+0.3)*(1+0.3))</f>
        <v>83634.327166648378</v>
      </c>
      <c r="L11" s="2">
        <f t="shared" ref="L11:L12" si="8">L8/((1+0.3)*(1+0.3)*(1+0.3)*(1+0.3)*(1+0.3)*(1+0.3)*(1+0.3)*(1+0.3))</f>
        <v>64334.097820498748</v>
      </c>
      <c r="M11" s="2">
        <f t="shared" ref="M11:M12" si="9">M8/((1+0.3)*(1+0.3)*(1+0.3)*(1+0.3)*(1+0.3)*(1+0.3)*(1+0.3)*(1+0.3)*(1+0.3))</f>
        <v>49487.767554229802</v>
      </c>
      <c r="N11" s="2">
        <f t="shared" ref="N11:N12" si="10">N8/((1+0.3)*(1+0.3)*(1+0.3)*(1+0.3)*(1+0.3)*(1+0.3)*(1+0.3)*(1+0.3)*(1+0.3)*(1+0.3))</f>
        <v>38067.513503253693</v>
      </c>
    </row>
    <row r="12" spans="2:14" x14ac:dyDescent="0.3">
      <c r="B12" s="10" t="s">
        <v>32</v>
      </c>
      <c r="C12" s="9" t="s">
        <v>24</v>
      </c>
      <c r="D12" s="2">
        <f t="shared" ref="D12" si="11">D9</f>
        <v>-342534</v>
      </c>
      <c r="E12" s="2">
        <f>E9/(1+0.3)</f>
        <v>134456.15384615384</v>
      </c>
      <c r="F12" s="2">
        <f>F9/((1+0.3)*(1+0.3))</f>
        <v>103427.81065088756</v>
      </c>
      <c r="G12" s="2">
        <f>G9/((1+0.3)*(1+0.3)*(1+0.3))</f>
        <v>79559.854346836582</v>
      </c>
      <c r="H12" s="2">
        <f>H9/((1+0.3)*(1+0.3)*(1+0.3)*(1+0.3))</f>
        <v>61199.88795910505</v>
      </c>
      <c r="I12" s="2">
        <f t="shared" si="5"/>
        <v>47076.83689161927</v>
      </c>
      <c r="J12" s="2">
        <f t="shared" si="6"/>
        <v>36212.951455091745</v>
      </c>
      <c r="K12" s="2">
        <f t="shared" si="7"/>
        <v>27856.116503916724</v>
      </c>
      <c r="L12" s="2">
        <f t="shared" si="8"/>
        <v>21427.781926089789</v>
      </c>
      <c r="M12" s="2">
        <f t="shared" si="9"/>
        <v>16482.909173915221</v>
      </c>
      <c r="N12" s="2">
        <f t="shared" si="10"/>
        <v>12679.160903011707</v>
      </c>
    </row>
    <row r="13" spans="2:14" x14ac:dyDescent="0.3">
      <c r="B13" s="10" t="s">
        <v>33</v>
      </c>
      <c r="C13" s="9" t="s">
        <v>25</v>
      </c>
      <c r="D13" s="2">
        <f>D7</f>
        <v>-342534</v>
      </c>
      <c r="E13" s="2">
        <f>E7/(1+0.4)</f>
        <v>624852.14285714284</v>
      </c>
      <c r="F13" s="2">
        <f>F7/((1+0.4)*(1+0.4))</f>
        <v>446322.95918367355</v>
      </c>
      <c r="G13" s="2">
        <f>G7/((1+0.4)*(1+0.4)*(1+0.4))</f>
        <v>318802.11370262399</v>
      </c>
      <c r="H13" s="2">
        <f>H7/((1+0.4)*(1+0.4)*(1+0.4)*(1+0.4))</f>
        <v>227715.79550187429</v>
      </c>
      <c r="I13" s="2">
        <f>I7/((1+0.4)*(1+0.4)*(1+0.4)*(1+0.4)*(1+0.4))</f>
        <v>162654.13964419594</v>
      </c>
      <c r="J13" s="2">
        <f>J7/((1+0.4)*(1+0.4)*(1+0.4)*(1+0.4)*(1+0.4)*(1+0.4))</f>
        <v>116181.52831728282</v>
      </c>
      <c r="K13" s="2">
        <f>K7/((1+0.4)*(1+0.4)*(1+0.4)*(1+0.4)*(1+0.4)*(1+0.4)*(1+0.4))</f>
        <v>82986.805940916296</v>
      </c>
      <c r="L13" s="2">
        <f>L7/((1+0.4)*(1+0.4)*(1+0.4)*(1+0.4)*(1+0.4)*(1+0.4)*(1+0.4)*(1+0.4))</f>
        <v>59276.289957797359</v>
      </c>
      <c r="M13" s="2">
        <f>M7/((1+0.4)*(1+0.4)*(1+0.4)*(1+0.4)*(1+0.4)*(1+0.4)*(1+0.4)*(1+0.4)*(1+0.4))</f>
        <v>42340.2071127124</v>
      </c>
      <c r="N13" s="2">
        <f>N7/((1+0.4)*(1+0.4)*(1+0.4)*(1+0.4)*(1+0.4)*(1+0.4)*(1+0.4)*(1+0.4)*(1+0.4)*(1+0.4))</f>
        <v>30243.005080508858</v>
      </c>
    </row>
    <row r="14" spans="2:14" x14ac:dyDescent="0.3">
      <c r="B14" s="15" t="s">
        <v>34</v>
      </c>
      <c r="C14" s="9" t="s">
        <v>26</v>
      </c>
      <c r="D14" s="2">
        <f t="shared" ref="D14:D15" si="12">D8</f>
        <v>-342534</v>
      </c>
      <c r="E14" s="2">
        <f t="shared" ref="E14:E15" si="13">E8/(1+0.4)</f>
        <v>374852.1428571429</v>
      </c>
      <c r="F14" s="2">
        <f t="shared" ref="F14:F15" si="14">F8/((1+0.4)*(1+0.4))</f>
        <v>267751.53061224491</v>
      </c>
      <c r="G14" s="2">
        <f t="shared" ref="G14:G15" si="15">G8/((1+0.4)*(1+0.4)*(1+0.4))</f>
        <v>191251.09329446068</v>
      </c>
      <c r="H14" s="2">
        <f t="shared" ref="H14:H15" si="16">H8/((1+0.4)*(1+0.4)*(1+0.4)*(1+0.4))</f>
        <v>136607.92378175765</v>
      </c>
      <c r="I14" s="2">
        <f t="shared" ref="I14:I15" si="17">I8/((1+0.4)*(1+0.4)*(1+0.4)*(1+0.4)*(1+0.4))</f>
        <v>97577.088415541177</v>
      </c>
      <c r="J14" s="2">
        <f>J8/((1+0.4)*(1+0.4)*(1+0.4)*(1+0.4)*(1+0.4)*(1+0.4))</f>
        <v>69697.920296815137</v>
      </c>
      <c r="K14" s="2">
        <f t="shared" ref="K14:K15" si="18">K8/((1+0.4)*(1+0.4)*(1+0.4)*(1+0.4)*(1+0.4)*(1+0.4)*(1+0.4))</f>
        <v>49784.228783439379</v>
      </c>
      <c r="L14" s="2">
        <f t="shared" ref="L14:L15" si="19">L8/((1+0.4)*(1+0.4)*(1+0.4)*(1+0.4)*(1+0.4)*(1+0.4)*(1+0.4)*(1+0.4))</f>
        <v>35560.16341674242</v>
      </c>
      <c r="M14" s="2">
        <f t="shared" ref="M14:M15" si="20">M8/((1+0.4)*(1+0.4)*(1+0.4)*(1+0.4)*(1+0.4)*(1+0.4)*(1+0.4)*(1+0.4)*(1+0.4))</f>
        <v>25400.116726244585</v>
      </c>
      <c r="N14" s="2">
        <f t="shared" ref="N14:N15" si="21">N8/((1+0.4)*(1+0.4)*(1+0.4)*(1+0.4)*(1+0.4)*(1+0.4)*(1+0.4)*(1+0.4)*(1+0.4)*(1+0.4))</f>
        <v>18142.940518746131</v>
      </c>
    </row>
    <row r="15" spans="2:14" x14ac:dyDescent="0.3">
      <c r="B15" s="10" t="s">
        <v>35</v>
      </c>
      <c r="C15" s="9" t="s">
        <v>27</v>
      </c>
      <c r="D15" s="2">
        <f t="shared" si="12"/>
        <v>-342534</v>
      </c>
      <c r="E15" s="2">
        <f t="shared" si="13"/>
        <v>124852.14285714287</v>
      </c>
      <c r="F15" s="2">
        <f t="shared" si="14"/>
        <v>89180.102040816331</v>
      </c>
      <c r="G15" s="2">
        <f t="shared" si="15"/>
        <v>63700.072886297392</v>
      </c>
      <c r="H15" s="2">
        <f t="shared" si="16"/>
        <v>45500.052061640999</v>
      </c>
      <c r="I15" s="2">
        <f t="shared" si="17"/>
        <v>32500.037186886428</v>
      </c>
      <c r="J15" s="2">
        <f>J9/((1+0.4)*(1+0.4)*(1+0.4)*(1+0.4)*(1+0.4)*(1+0.4))</f>
        <v>23214.312276347449</v>
      </c>
      <c r="K15" s="2">
        <f t="shared" si="18"/>
        <v>16581.651625962466</v>
      </c>
      <c r="L15" s="2">
        <f t="shared" si="19"/>
        <v>11844.036875687476</v>
      </c>
      <c r="M15" s="2">
        <f t="shared" si="20"/>
        <v>8460.0263397767685</v>
      </c>
      <c r="N15" s="2">
        <f t="shared" si="21"/>
        <v>6042.8759569834065</v>
      </c>
    </row>
    <row r="16" spans="2:14" x14ac:dyDescent="0.3">
      <c r="B16" s="10" t="s">
        <v>36</v>
      </c>
      <c r="C16" s="9" t="s">
        <v>22</v>
      </c>
      <c r="D16" s="2">
        <f>D7</f>
        <v>-342534</v>
      </c>
      <c r="E16" s="2">
        <f>E7/(1+0.5)</f>
        <v>583195.33333333337</v>
      </c>
      <c r="F16" s="2">
        <f>F7/((1+0.5)*(1+0.5))</f>
        <v>388796.88888888888</v>
      </c>
      <c r="G16" s="2">
        <f>G7/((1+0.5)*(1+0.5)*(1+0.5))</f>
        <v>259197.92592592593</v>
      </c>
      <c r="H16" s="2">
        <f>H7/((1+0.5)*(1+0.5)*(1+0.5)*(1+0.5))</f>
        <v>172798.61728395062</v>
      </c>
      <c r="I16" s="2">
        <f>I7/((1+0.5)*(1+0.5)*(1+0.5)*(1+0.5)*(1+0.5))</f>
        <v>115199.07818930042</v>
      </c>
      <c r="J16" s="2">
        <f>J7/((1+0.5)*(1+0.5)*(1+0.5)*(1+0.5)*(1+0.5)*(1+0.5))</f>
        <v>76799.385459533602</v>
      </c>
      <c r="K16" s="2">
        <f>K7/((1+0.5)*(1+0.5)*(1+0.5)*(1+0.5)*(1+0.5)*(1+0.5)*(1+0.5))</f>
        <v>51199.590306355742</v>
      </c>
      <c r="L16" s="2">
        <f>L7/((1+0.5)*(1+0.5)*(1+0.5)*(1+0.5)*(1+0.5)*(1+0.5)*(1+0.5)*(1+0.5))</f>
        <v>34133.060204237161</v>
      </c>
      <c r="M16" s="2">
        <f>M7/((1+0.5)*(1+0.5)*(1+0.5)*(1+0.5)*(1+0.5)*(1+0.5)*(1+0.5)*(1+0.5)*(1+0.5))</f>
        <v>22755.373469491438</v>
      </c>
      <c r="N16" s="2">
        <f>N7/((1+0.5)*(1+0.5)*(1+0.5)*(1+0.5)*(1+0.5)*(1+0.5)*(1+0.5)*(1+0.5)*(1+0.5)*(1+0.5))</f>
        <v>15170.248979660959</v>
      </c>
    </row>
    <row r="17" spans="2:14" x14ac:dyDescent="0.3">
      <c r="B17" s="10" t="s">
        <v>37</v>
      </c>
      <c r="C17" s="9" t="s">
        <v>28</v>
      </c>
      <c r="D17" s="2">
        <f t="shared" ref="D17:D18" si="22">D8</f>
        <v>-342534</v>
      </c>
      <c r="E17" s="2">
        <f t="shared" ref="E17:E18" si="23">E8/(1+0.5)</f>
        <v>349862</v>
      </c>
      <c r="F17" s="2">
        <f>F8/((1+0.5)*(1+0.5))</f>
        <v>233241.33333333334</v>
      </c>
      <c r="G17" s="2">
        <f t="shared" ref="G17:G18" si="24">G8/((1+0.5)*(1+0.5)*(1+0.5))</f>
        <v>155494.22222222222</v>
      </c>
      <c r="H17" s="2">
        <f t="shared" ref="H17:H18" si="25">H8/((1+0.5)*(1+0.5)*(1+0.5)*(1+0.5))</f>
        <v>103662.81481481482</v>
      </c>
      <c r="I17" s="2">
        <f t="shared" ref="I17:I18" si="26">I8/((1+0.5)*(1+0.5)*(1+0.5)*(1+0.5)*(1+0.5))</f>
        <v>69108.543209876545</v>
      </c>
      <c r="J17" s="2">
        <f t="shared" ref="J17:J18" si="27">J8/((1+0.5)*(1+0.5)*(1+0.5)*(1+0.5)*(1+0.5)*(1+0.5))</f>
        <v>46072.362139917699</v>
      </c>
      <c r="K17" s="2">
        <f t="shared" ref="K17:K18" si="28">K8/((1+0.5)*(1+0.5)*(1+0.5)*(1+0.5)*(1+0.5)*(1+0.5)*(1+0.5))</f>
        <v>30714.908093278464</v>
      </c>
      <c r="L17" s="2">
        <f t="shared" ref="L17:L18" si="29">L8/((1+0.5)*(1+0.5)*(1+0.5)*(1+0.5)*(1+0.5)*(1+0.5)*(1+0.5)*(1+0.5))</f>
        <v>20476.605395518975</v>
      </c>
      <c r="M17" s="2">
        <f>M8/((1+0.5)*(1+0.5)*(1+0.5)*(1+0.5)*(1+0.5)*(1+0.5)*(1+0.5)*(1+0.5)*(1+0.5))</f>
        <v>13651.070263679318</v>
      </c>
      <c r="N17" s="2">
        <f t="shared" ref="N17:N18" si="30">N8/((1+0.5)*(1+0.5)*(1+0.5)*(1+0.5)*(1+0.5)*(1+0.5)*(1+0.5)*(1+0.5)*(1+0.5)*(1+0.5))</f>
        <v>9100.7135091195451</v>
      </c>
    </row>
    <row r="18" spans="2:14" x14ac:dyDescent="0.3">
      <c r="B18" s="16" t="s">
        <v>38</v>
      </c>
      <c r="C18" s="9" t="s">
        <v>29</v>
      </c>
      <c r="D18" s="2">
        <f t="shared" si="22"/>
        <v>-342534</v>
      </c>
      <c r="E18" s="2">
        <f t="shared" si="23"/>
        <v>116528.66666666667</v>
      </c>
      <c r="F18" s="2">
        <f>F9/((1+0.5)*(1+0.5))</f>
        <v>77685.777777777781</v>
      </c>
      <c r="G18" s="2">
        <f t="shared" si="24"/>
        <v>51790.518518518518</v>
      </c>
      <c r="H18" s="2">
        <f t="shared" si="25"/>
        <v>34527.01234567901</v>
      </c>
      <c r="I18" s="2">
        <f t="shared" si="26"/>
        <v>23018.008230452673</v>
      </c>
      <c r="J18" s="2">
        <f t="shared" si="27"/>
        <v>15345.338820301784</v>
      </c>
      <c r="K18" s="2">
        <f t="shared" si="28"/>
        <v>10230.225880201189</v>
      </c>
      <c r="L18" s="2">
        <f t="shared" si="29"/>
        <v>6820.1505868007926</v>
      </c>
      <c r="M18" s="2">
        <f>M9/((1+0.5)*(1+0.5)*(1+0.5)*(1+0.5)*(1+0.5)*(1+0.5)*(1+0.5)*(1+0.5)*(1+0.5))</f>
        <v>4546.767057867195</v>
      </c>
      <c r="N18" s="2">
        <f t="shared" si="30"/>
        <v>3031.1780385781299</v>
      </c>
    </row>
    <row r="21" spans="2:14" x14ac:dyDescent="0.3">
      <c r="E21" s="5" t="s">
        <v>12</v>
      </c>
      <c r="F21" s="5" t="s">
        <v>14</v>
      </c>
      <c r="G21" s="48" t="s">
        <v>13</v>
      </c>
      <c r="H21" s="48"/>
      <c r="J21" s="5" t="s">
        <v>15</v>
      </c>
      <c r="K21" s="5" t="s">
        <v>16</v>
      </c>
      <c r="L21" s="48" t="s">
        <v>17</v>
      </c>
      <c r="M21" s="48"/>
    </row>
    <row r="22" spans="2:14" x14ac:dyDescent="0.3">
      <c r="D22" s="14" t="s">
        <v>30</v>
      </c>
      <c r="E22" s="2">
        <f t="shared" ref="E22:E30" si="31">SUM(D10:N10)</f>
        <v>2361923.1129883467</v>
      </c>
      <c r="F22" s="1">
        <v>0.09</v>
      </c>
      <c r="G22" s="39">
        <f>E22*F22+E23*F23+E24*F24+E25*F25+E26*F26+E27*F27+E28*F28+E29*F29+E30*F30</f>
        <v>955752.68337553111</v>
      </c>
      <c r="H22" s="40"/>
      <c r="J22" s="45"/>
      <c r="K22" s="46"/>
      <c r="L22" s="47"/>
      <c r="M22" s="47"/>
    </row>
    <row r="23" spans="2:14" x14ac:dyDescent="0.3">
      <c r="D23" s="10" t="s">
        <v>31</v>
      </c>
      <c r="E23" s="2">
        <f t="shared" si="31"/>
        <v>1279884.2883224874</v>
      </c>
      <c r="F23" s="11">
        <v>0.11</v>
      </c>
      <c r="G23" s="41"/>
      <c r="H23" s="42"/>
      <c r="J23" s="45"/>
      <c r="K23" s="46"/>
      <c r="L23" s="47"/>
      <c r="M23" s="47"/>
    </row>
    <row r="24" spans="2:14" x14ac:dyDescent="0.3">
      <c r="D24" s="10" t="s">
        <v>32</v>
      </c>
      <c r="E24" s="2">
        <f t="shared" si="31"/>
        <v>197845.46365662749</v>
      </c>
      <c r="F24" s="11">
        <v>0.11</v>
      </c>
      <c r="G24" s="41"/>
      <c r="H24" s="42"/>
      <c r="J24" s="45"/>
      <c r="K24" s="46"/>
      <c r="L24" s="47"/>
      <c r="M24" s="47"/>
    </row>
    <row r="25" spans="2:14" x14ac:dyDescent="0.3">
      <c r="D25" s="10" t="s">
        <v>33</v>
      </c>
      <c r="E25" s="2">
        <f t="shared" si="31"/>
        <v>1768840.9872987282</v>
      </c>
      <c r="F25" s="11">
        <v>0.1</v>
      </c>
      <c r="G25" s="41"/>
      <c r="H25" s="42"/>
      <c r="J25" s="45"/>
      <c r="K25" s="46"/>
      <c r="L25" s="47"/>
      <c r="M25" s="47"/>
    </row>
    <row r="26" spans="2:14" x14ac:dyDescent="0.3">
      <c r="D26" s="15" t="s">
        <v>34</v>
      </c>
      <c r="E26" s="2">
        <f t="shared" si="31"/>
        <v>924091.14870313508</v>
      </c>
      <c r="F26" s="1">
        <v>0.16</v>
      </c>
      <c r="G26" s="41"/>
      <c r="H26" s="42"/>
      <c r="J26" s="45"/>
      <c r="K26" s="46"/>
      <c r="L26" s="47"/>
      <c r="M26" s="47"/>
    </row>
    <row r="27" spans="2:14" x14ac:dyDescent="0.3">
      <c r="D27" s="10" t="s">
        <v>35</v>
      </c>
      <c r="E27" s="2">
        <f t="shared" si="31"/>
        <v>79341.310107541576</v>
      </c>
      <c r="F27" s="11">
        <v>0.1</v>
      </c>
      <c r="G27" s="41"/>
      <c r="H27" s="42"/>
      <c r="J27" s="45"/>
      <c r="K27" s="46"/>
      <c r="L27" s="47"/>
      <c r="M27" s="47"/>
    </row>
    <row r="28" spans="2:14" x14ac:dyDescent="0.3">
      <c r="D28" s="10" t="s">
        <v>36</v>
      </c>
      <c r="E28" s="2">
        <f t="shared" si="31"/>
        <v>1376711.5020406784</v>
      </c>
      <c r="F28" s="11">
        <v>0.12</v>
      </c>
      <c r="G28" s="41"/>
      <c r="H28" s="42"/>
      <c r="J28" s="45"/>
      <c r="K28" s="46"/>
      <c r="L28" s="47"/>
      <c r="M28" s="47"/>
    </row>
    <row r="29" spans="2:14" x14ac:dyDescent="0.3">
      <c r="D29" s="10" t="s">
        <v>37</v>
      </c>
      <c r="E29" s="2">
        <f t="shared" si="31"/>
        <v>688850.57298176095</v>
      </c>
      <c r="F29" s="1">
        <v>0.12</v>
      </c>
      <c r="G29" s="41"/>
      <c r="H29" s="42"/>
      <c r="J29" s="45"/>
      <c r="K29" s="46"/>
      <c r="L29" s="47"/>
      <c r="M29" s="47"/>
    </row>
    <row r="30" spans="2:14" x14ac:dyDescent="0.3">
      <c r="D30" s="16" t="s">
        <v>38</v>
      </c>
      <c r="E30" s="2">
        <f t="shared" si="31"/>
        <v>989.64392284374981</v>
      </c>
      <c r="F30" s="1">
        <v>0.09</v>
      </c>
      <c r="G30" s="43"/>
      <c r="H30" s="44"/>
      <c r="J30" s="45"/>
      <c r="K30" s="46"/>
      <c r="L30" s="47"/>
      <c r="M30" s="47"/>
    </row>
  </sheetData>
  <mergeCells count="6">
    <mergeCell ref="G22:H30"/>
    <mergeCell ref="J22:J30"/>
    <mergeCell ref="K22:K30"/>
    <mergeCell ref="L22:M30"/>
    <mergeCell ref="G21:H21"/>
    <mergeCell ref="L21:M2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N42"/>
  <sheetViews>
    <sheetView showGridLines="0" topLeftCell="A19" zoomScale="85" zoomScaleNormal="85" workbookViewId="0">
      <selection activeCell="F42" sqref="F42"/>
    </sheetView>
  </sheetViews>
  <sheetFormatPr defaultRowHeight="14.4" x14ac:dyDescent="0.3"/>
  <cols>
    <col min="1" max="1" width="1.5546875" customWidth="1"/>
    <col min="3" max="3" width="23.33203125" customWidth="1"/>
    <col min="4" max="5" width="15.44140625" bestFit="1" customWidth="1"/>
    <col min="6" max="8" width="20.6640625" bestFit="1" customWidth="1"/>
    <col min="9" max="9" width="14.77734375" style="17" customWidth="1"/>
    <col min="10" max="12" width="14.77734375" customWidth="1"/>
    <col min="14" max="14" width="14.88671875" bestFit="1" customWidth="1"/>
    <col min="15" max="15" width="24.33203125" bestFit="1" customWidth="1"/>
    <col min="16" max="16" width="24.5546875" bestFit="1" customWidth="1"/>
  </cols>
  <sheetData>
    <row r="1" spans="2:12" ht="15" thickBot="1" x14ac:dyDescent="0.35"/>
    <row r="2" spans="2:12" s="18" customFormat="1" ht="31.2" x14ac:dyDescent="0.3">
      <c r="B2" s="33" t="s">
        <v>72</v>
      </c>
      <c r="C2" s="61" t="s">
        <v>66</v>
      </c>
      <c r="D2" s="61" t="s">
        <v>67</v>
      </c>
      <c r="E2" s="61" t="s">
        <v>68</v>
      </c>
      <c r="F2" s="61" t="s">
        <v>69</v>
      </c>
      <c r="G2" s="61" t="s">
        <v>70</v>
      </c>
      <c r="H2" s="61" t="s">
        <v>71</v>
      </c>
      <c r="I2" s="19"/>
      <c r="J2" s="55" t="s">
        <v>139</v>
      </c>
      <c r="K2" s="56" t="s">
        <v>140</v>
      </c>
      <c r="L2" s="57" t="s">
        <v>141</v>
      </c>
    </row>
    <row r="3" spans="2:12" ht="15.6" x14ac:dyDescent="0.3">
      <c r="B3" s="33">
        <v>0</v>
      </c>
      <c r="C3" s="62">
        <f>-'Capacity Using Rate &amp; Cash Flow'!C4</f>
        <v>-342534.5</v>
      </c>
      <c r="D3" s="62">
        <f>C3</f>
        <v>-342534.5</v>
      </c>
      <c r="E3" s="62">
        <f>C3</f>
        <v>-342534.5</v>
      </c>
      <c r="F3" s="63">
        <f t="shared" ref="F3:F13" si="0">1/(1+$J$3)^B3</f>
        <v>1</v>
      </c>
      <c r="G3" s="63">
        <f t="shared" ref="G3:G13" si="1">1/(1+$K$3)^B3</f>
        <v>1</v>
      </c>
      <c r="H3" s="63">
        <f t="shared" ref="H3:H13" si="2">1/(1+$L$3)^B3</f>
        <v>1</v>
      </c>
      <c r="J3" s="49">
        <f>'Discount Rate'!$F$6</f>
        <v>0.39500000000000002</v>
      </c>
      <c r="K3" s="50">
        <f>'Discount Rate'!$G$6</f>
        <v>0.44079999999999997</v>
      </c>
      <c r="L3" s="51">
        <f>'Discount Rate'!$H$6</f>
        <v>0.49</v>
      </c>
    </row>
    <row r="4" spans="2:12" ht="15.6" x14ac:dyDescent="0.3">
      <c r="B4" s="33">
        <v>1</v>
      </c>
      <c r="C4" s="62">
        <f>'Capacity Using Rate &amp; Cash Flow'!C8</f>
        <v>816522.52</v>
      </c>
      <c r="D4" s="62">
        <f>'Capacity Using Rate &amp; Cash Flow'!D8</f>
        <v>677713.69160000002</v>
      </c>
      <c r="E4" s="62">
        <f>'Capacity Using Rate &amp; Cash Flow'!E8</f>
        <v>538904.86320000002</v>
      </c>
      <c r="F4" s="63">
        <f t="shared" si="0"/>
        <v>0.71684587813620071</v>
      </c>
      <c r="G4" s="63">
        <f t="shared" si="1"/>
        <v>0.69405885619100505</v>
      </c>
      <c r="H4" s="63">
        <f t="shared" si="2"/>
        <v>0.67114093959731547</v>
      </c>
      <c r="J4" s="49">
        <f>'Discount Rate'!$F$6</f>
        <v>0.39500000000000002</v>
      </c>
      <c r="K4" s="50">
        <f>'Discount Rate'!$G$6</f>
        <v>0.44079999999999997</v>
      </c>
      <c r="L4" s="51">
        <f>'Discount Rate'!$H$6</f>
        <v>0.49</v>
      </c>
    </row>
    <row r="5" spans="2:12" ht="15.6" x14ac:dyDescent="0.3">
      <c r="B5" s="33">
        <v>2</v>
      </c>
      <c r="C5" s="62">
        <f>C4*(1.44)</f>
        <v>1175792.4287999999</v>
      </c>
      <c r="D5" s="62">
        <f>D4*(1.44)</f>
        <v>975907.71590399998</v>
      </c>
      <c r="E5" s="62">
        <f>E4*1.44</f>
        <v>776023.00300799997</v>
      </c>
      <c r="F5" s="63">
        <f t="shared" si="0"/>
        <v>0.51386801300086071</v>
      </c>
      <c r="G5" s="63">
        <f t="shared" si="1"/>
        <v>0.48171769585716623</v>
      </c>
      <c r="H5" s="63">
        <f t="shared" si="2"/>
        <v>0.4504301608035674</v>
      </c>
      <c r="J5" s="49">
        <f>'Discount Rate'!$F$6</f>
        <v>0.39500000000000002</v>
      </c>
      <c r="K5" s="50">
        <f>'Discount Rate'!$G$6</f>
        <v>0.44079999999999997</v>
      </c>
      <c r="L5" s="51">
        <f>'Discount Rate'!$H$6</f>
        <v>0.49</v>
      </c>
    </row>
    <row r="6" spans="2:12" ht="15.6" x14ac:dyDescent="0.3">
      <c r="B6" s="33">
        <v>3</v>
      </c>
      <c r="C6" s="62">
        <f t="shared" ref="C6:C13" si="3">C5*(1.44)</f>
        <v>1693141.0974719997</v>
      </c>
      <c r="D6" s="62">
        <f t="shared" ref="D6:D13" si="4">D5*(1.44)</f>
        <v>1405307.1109017599</v>
      </c>
      <c r="E6" s="62">
        <f t="shared" ref="E6:E13" si="5">E5*1.44</f>
        <v>1117473.1243315199</v>
      </c>
      <c r="F6" s="63">
        <f t="shared" si="0"/>
        <v>0.36836416702570657</v>
      </c>
      <c r="G6" s="63">
        <f t="shared" si="1"/>
        <v>0.33434043299359123</v>
      </c>
      <c r="H6" s="63">
        <f t="shared" si="2"/>
        <v>0.30230212134467616</v>
      </c>
      <c r="J6" s="49">
        <f>'Discount Rate'!$F$6</f>
        <v>0.39500000000000002</v>
      </c>
      <c r="K6" s="50">
        <f>'Discount Rate'!$G$6</f>
        <v>0.44079999999999997</v>
      </c>
      <c r="L6" s="51">
        <f>'Discount Rate'!$H$6</f>
        <v>0.49</v>
      </c>
    </row>
    <row r="7" spans="2:12" ht="15.6" x14ac:dyDescent="0.3">
      <c r="B7" s="33">
        <v>4</v>
      </c>
      <c r="C7" s="62">
        <f t="shared" si="3"/>
        <v>2438123.1803596793</v>
      </c>
      <c r="D7" s="62">
        <f t="shared" si="4"/>
        <v>2023642.2396985341</v>
      </c>
      <c r="E7" s="62">
        <f t="shared" si="5"/>
        <v>1609161.2990373888</v>
      </c>
      <c r="F7" s="63">
        <f t="shared" si="0"/>
        <v>0.26406033478545277</v>
      </c>
      <c r="G7" s="63">
        <f t="shared" si="1"/>
        <v>0.23205193850193734</v>
      </c>
      <c r="H7" s="63">
        <f t="shared" si="2"/>
        <v>0.2028873297615276</v>
      </c>
      <c r="J7" s="49">
        <f>'Discount Rate'!$F$6</f>
        <v>0.39500000000000002</v>
      </c>
      <c r="K7" s="50">
        <f>'Discount Rate'!$G$6</f>
        <v>0.44079999999999997</v>
      </c>
      <c r="L7" s="51">
        <f>'Discount Rate'!$H$6</f>
        <v>0.49</v>
      </c>
    </row>
    <row r="8" spans="2:12" ht="15.6" x14ac:dyDescent="0.3">
      <c r="B8" s="33">
        <v>5</v>
      </c>
      <c r="C8" s="62">
        <f t="shared" si="3"/>
        <v>3510897.3797179381</v>
      </c>
      <c r="D8" s="62">
        <f t="shared" si="4"/>
        <v>2914044.8251658892</v>
      </c>
      <c r="E8" s="62">
        <f t="shared" si="5"/>
        <v>2317192.2706138398</v>
      </c>
      <c r="F8" s="63">
        <f t="shared" si="0"/>
        <v>0.18929056257021701</v>
      </c>
      <c r="G8" s="63">
        <f t="shared" si="1"/>
        <v>0.16105770301356009</v>
      </c>
      <c r="H8" s="63">
        <f t="shared" si="2"/>
        <v>0.13616599312854202</v>
      </c>
      <c r="J8" s="49">
        <f>'Discount Rate'!$F$6</f>
        <v>0.39500000000000002</v>
      </c>
      <c r="K8" s="50">
        <f>'Discount Rate'!$G$6</f>
        <v>0.44079999999999997</v>
      </c>
      <c r="L8" s="51">
        <f>'Discount Rate'!$H$6</f>
        <v>0.49</v>
      </c>
    </row>
    <row r="9" spans="2:12" ht="15.6" x14ac:dyDescent="0.3">
      <c r="B9" s="33">
        <v>6</v>
      </c>
      <c r="C9" s="62">
        <f t="shared" si="3"/>
        <v>5055692.2267938303</v>
      </c>
      <c r="D9" s="62">
        <f t="shared" si="4"/>
        <v>4196224.54823888</v>
      </c>
      <c r="E9" s="62">
        <f t="shared" si="5"/>
        <v>3336756.8696839293</v>
      </c>
      <c r="F9" s="63">
        <f t="shared" si="0"/>
        <v>0.13569215954854266</v>
      </c>
      <c r="G9" s="63">
        <f t="shared" si="1"/>
        <v>0.1117835251343421</v>
      </c>
      <c r="H9" s="63">
        <f t="shared" si="2"/>
        <v>9.1386572569491287E-2</v>
      </c>
      <c r="J9" s="49">
        <f>'Discount Rate'!$F$6</f>
        <v>0.39500000000000002</v>
      </c>
      <c r="K9" s="50">
        <f>'Discount Rate'!$G$6</f>
        <v>0.44079999999999997</v>
      </c>
      <c r="L9" s="51">
        <f>'Discount Rate'!$H$6</f>
        <v>0.49</v>
      </c>
    </row>
    <row r="10" spans="2:12" ht="15.6" x14ac:dyDescent="0.3">
      <c r="B10" s="33">
        <v>7</v>
      </c>
      <c r="C10" s="62">
        <f t="shared" si="3"/>
        <v>7280196.8065831149</v>
      </c>
      <c r="D10" s="62">
        <f t="shared" si="4"/>
        <v>6042563.3494639872</v>
      </c>
      <c r="E10" s="62">
        <f t="shared" si="5"/>
        <v>4804929.8923448576</v>
      </c>
      <c r="F10" s="63">
        <f t="shared" si="0"/>
        <v>9.727036526777251E-2</v>
      </c>
      <c r="G10" s="63">
        <f t="shared" si="1"/>
        <v>7.7584345595739942E-2</v>
      </c>
      <c r="H10" s="63">
        <f t="shared" si="2"/>
        <v>6.1333270180866636E-2</v>
      </c>
      <c r="J10" s="49">
        <f>'Discount Rate'!$F$6</f>
        <v>0.39500000000000002</v>
      </c>
      <c r="K10" s="50">
        <f>'Discount Rate'!$G$6</f>
        <v>0.44079999999999997</v>
      </c>
      <c r="L10" s="51">
        <f>'Discount Rate'!$H$6</f>
        <v>0.49</v>
      </c>
    </row>
    <row r="11" spans="2:12" ht="15.6" x14ac:dyDescent="0.3">
      <c r="B11" s="33">
        <v>8</v>
      </c>
      <c r="C11" s="62">
        <f t="shared" si="3"/>
        <v>10483483.401479686</v>
      </c>
      <c r="D11" s="62">
        <f t="shared" si="4"/>
        <v>8701291.2232281417</v>
      </c>
      <c r="E11" s="62">
        <f t="shared" si="5"/>
        <v>6919099.0449765949</v>
      </c>
      <c r="F11" s="63">
        <f t="shared" si="0"/>
        <v>6.972786040700539E-2</v>
      </c>
      <c r="G11" s="63">
        <f t="shared" si="1"/>
        <v>5.3848102162506913E-2</v>
      </c>
      <c r="H11" s="63">
        <f t="shared" si="2"/>
        <v>4.1163268577762847E-2</v>
      </c>
      <c r="J11" s="49">
        <f>'Discount Rate'!$F$6</f>
        <v>0.39500000000000002</v>
      </c>
      <c r="K11" s="50">
        <f>'Discount Rate'!$G$6</f>
        <v>0.44079999999999997</v>
      </c>
      <c r="L11" s="51">
        <f>'Discount Rate'!$H$6</f>
        <v>0.49</v>
      </c>
    </row>
    <row r="12" spans="2:12" ht="15.6" x14ac:dyDescent="0.3">
      <c r="B12" s="33">
        <v>9</v>
      </c>
      <c r="C12" s="62">
        <f t="shared" si="3"/>
        <v>15096216.098130748</v>
      </c>
      <c r="D12" s="62">
        <f t="shared" si="4"/>
        <v>12529859.361448523</v>
      </c>
      <c r="E12" s="62">
        <f t="shared" si="5"/>
        <v>9963502.6247662958</v>
      </c>
      <c r="F12" s="63">
        <f t="shared" si="0"/>
        <v>4.9984129324018196E-2</v>
      </c>
      <c r="G12" s="63">
        <f t="shared" si="1"/>
        <v>3.7373752194965935E-2</v>
      </c>
      <c r="H12" s="63">
        <f t="shared" si="2"/>
        <v>2.7626354750176409E-2</v>
      </c>
      <c r="J12" s="49">
        <f>'Discount Rate'!$F$6</f>
        <v>0.39500000000000002</v>
      </c>
      <c r="K12" s="50">
        <f>'Discount Rate'!$G$6</f>
        <v>0.44079999999999997</v>
      </c>
      <c r="L12" s="51">
        <f>'Discount Rate'!$H$6</f>
        <v>0.49</v>
      </c>
    </row>
    <row r="13" spans="2:12" ht="16.2" thickBot="1" x14ac:dyDescent="0.35">
      <c r="B13" s="33">
        <v>10</v>
      </c>
      <c r="C13" s="62">
        <f t="shared" si="3"/>
        <v>21738551.181308277</v>
      </c>
      <c r="D13" s="62">
        <f t="shared" si="4"/>
        <v>18042997.480485871</v>
      </c>
      <c r="E13" s="62">
        <f t="shared" si="5"/>
        <v>14347443.779663466</v>
      </c>
      <c r="F13" s="63">
        <f t="shared" si="0"/>
        <v>3.5830917078149248E-2</v>
      </c>
      <c r="G13" s="63">
        <f t="shared" si="1"/>
        <v>2.5939583700004119E-2</v>
      </c>
      <c r="H13" s="63">
        <f t="shared" si="2"/>
        <v>1.8541177684682154E-2</v>
      </c>
      <c r="J13" s="52">
        <f>'Discount Rate'!$F$6</f>
        <v>0.39500000000000002</v>
      </c>
      <c r="K13" s="53">
        <f>'Discount Rate'!$G$6</f>
        <v>0.44079999999999997</v>
      </c>
      <c r="L13" s="54">
        <f>'Discount Rate'!$H$6</f>
        <v>0.49</v>
      </c>
    </row>
    <row r="15" spans="2:12" ht="28.8" customHeight="1" x14ac:dyDescent="0.3">
      <c r="C15" s="64" t="s">
        <v>117</v>
      </c>
      <c r="D15" s="65" t="s">
        <v>64</v>
      </c>
      <c r="E15" s="65" t="s">
        <v>64</v>
      </c>
      <c r="F15" s="65" t="s">
        <v>64</v>
      </c>
      <c r="G15" s="65" t="s">
        <v>63</v>
      </c>
      <c r="H15" s="65" t="s">
        <v>63</v>
      </c>
      <c r="I15" s="65" t="s">
        <v>63</v>
      </c>
      <c r="J15" s="65" t="s">
        <v>65</v>
      </c>
      <c r="K15" s="65" t="s">
        <v>65</v>
      </c>
      <c r="L15" s="65" t="s">
        <v>65</v>
      </c>
    </row>
    <row r="16" spans="2:12" s="17" customFormat="1" ht="4.95" customHeight="1" x14ac:dyDescent="0.3">
      <c r="C16" s="29"/>
      <c r="D16" s="30"/>
      <c r="E16" s="30"/>
      <c r="F16" s="30"/>
      <c r="G16" s="30"/>
      <c r="H16" s="30"/>
      <c r="I16" s="30"/>
      <c r="J16" s="30"/>
      <c r="K16" s="30"/>
      <c r="L16" s="30"/>
    </row>
    <row r="17" spans="3:14" ht="28.8" customHeight="1" x14ac:dyDescent="0.3">
      <c r="C17" s="64" t="s">
        <v>118</v>
      </c>
      <c r="D17" s="65" t="s">
        <v>64</v>
      </c>
      <c r="E17" s="65" t="s">
        <v>63</v>
      </c>
      <c r="F17" s="65" t="s">
        <v>65</v>
      </c>
      <c r="G17" s="65" t="s">
        <v>64</v>
      </c>
      <c r="H17" s="65" t="s">
        <v>63</v>
      </c>
      <c r="I17" s="65" t="s">
        <v>65</v>
      </c>
      <c r="J17" s="65" t="s">
        <v>64</v>
      </c>
      <c r="K17" s="65" t="s">
        <v>63</v>
      </c>
      <c r="L17" s="65" t="s">
        <v>65</v>
      </c>
    </row>
    <row r="18" spans="3:14" s="17" customFormat="1" ht="4.95" customHeight="1" x14ac:dyDescent="0.3">
      <c r="C18" s="29"/>
      <c r="D18" s="30"/>
      <c r="E18" s="30"/>
      <c r="F18" s="30"/>
      <c r="G18" s="30"/>
      <c r="H18" s="30"/>
      <c r="I18" s="30"/>
      <c r="J18" s="30"/>
      <c r="K18" s="30"/>
      <c r="L18" s="30"/>
    </row>
    <row r="19" spans="3:14" ht="28.8" customHeight="1" x14ac:dyDescent="0.3">
      <c r="C19" s="64" t="s">
        <v>119</v>
      </c>
      <c r="D19" s="66">
        <v>0.18129999999999999</v>
      </c>
      <c r="E19" s="66">
        <v>0.29720000000000002</v>
      </c>
      <c r="F19" s="66">
        <v>0.1221</v>
      </c>
      <c r="G19" s="66">
        <v>7.3200000000000001E-2</v>
      </c>
      <c r="H19" s="66">
        <v>0.1245</v>
      </c>
      <c r="I19" s="66">
        <v>5.1700000000000003E-2</v>
      </c>
      <c r="J19" s="66">
        <v>4.2900000000000001E-2</v>
      </c>
      <c r="K19" s="66">
        <v>7.6600000000000001E-2</v>
      </c>
      <c r="L19" s="66">
        <v>3.0499999999999999E-2</v>
      </c>
    </row>
    <row r="21" spans="3:14" ht="28.8" customHeight="1" x14ac:dyDescent="0.3">
      <c r="C21" s="59" t="s">
        <v>12</v>
      </c>
      <c r="D21" s="67">
        <f>C3*F3+C4*F4+C5*F5+C6*F6+C7*F7+C8*F8+C9*F9+C10*F10+C11*F11+C12*F12+C13*F13</f>
        <v>6437711.8039610498</v>
      </c>
      <c r="E21" s="67">
        <f>C3*G3+C4*G4+C5*G5+C6*G6+C7*G7+C8*G8+C9*G9+C10*G10+C11*G11+C12*G12+C13*G13</f>
        <v>5310473.3081355765</v>
      </c>
      <c r="F21" s="67">
        <f>C3*H3+C4*H4+C5*H5+C6*H6+C7*H7+C8*H8+C9*H9+C10*H10+C11*H11+C12*H12+C13*H13</f>
        <v>4379835.7062664125</v>
      </c>
      <c r="G21" s="67">
        <f>D3*F3+D4*F4+D5*F5+D6*F6+D7*F7+D8*F8+D9*F9+D10*F10+D11*F11+D12*F12+D13*F13</f>
        <v>5285069.9322876725</v>
      </c>
      <c r="H21" s="67">
        <f>D3*G3+D4*G4+D5*G5+D6*G6+D7*G7+D8*G8+D9*G9+D10*G10+D11*G11+D12*G12+D13*G13</f>
        <v>4349461.9807525296</v>
      </c>
      <c r="I21" s="67">
        <f>D3*H3+D4*H4+D5*H5+D6*H6+D7*H7+D8*H8+D9*H9+D10*H10+D11*H11+D12*H12+D13*H13</f>
        <v>3577032.7712011226</v>
      </c>
      <c r="J21" s="67">
        <f>E3*F3+E4*F4+E5*F5+E6*F6+E7*F7+E8*F8+E9*F9+E10*F10+E11*F11+E12*F12+E13*F13</f>
        <v>4132428.0606142944</v>
      </c>
      <c r="K21" s="67">
        <f>E3*G3+E4*G4+E5*G5+E6*G6+E7*G7+E8*G8+E9*G9+E10*G10+E11*G11+E12*G12+E13*G13</f>
        <v>3388450.6533694817</v>
      </c>
      <c r="L21" s="67">
        <f>E3*H3+E4*H4+E5*H5+E6*H6+E7*H7+E8*H8+E9*H9+E10*H10+E11*H11+E12*H12+E13*H13</f>
        <v>2774229.8361358326</v>
      </c>
    </row>
    <row r="22" spans="3:14" ht="28.8" customHeight="1" x14ac:dyDescent="0.3">
      <c r="C22" s="59" t="s">
        <v>15</v>
      </c>
      <c r="D22" s="68">
        <f>IRR(D27:D37)</f>
        <v>1.7409537112799085</v>
      </c>
      <c r="E22" s="68">
        <f t="shared" ref="E22:L22" si="6">IRR(E27:E37)</f>
        <v>1.6538245608241757</v>
      </c>
      <c r="F22" s="68">
        <f t="shared" si="6"/>
        <v>1.5661949176074819</v>
      </c>
      <c r="G22" s="68">
        <f t="shared" si="6"/>
        <v>1.450307137647004</v>
      </c>
      <c r="H22" s="68">
        <f t="shared" si="6"/>
        <v>1.3724170301343501</v>
      </c>
      <c r="I22" s="68">
        <f t="shared" si="6"/>
        <v>1.2940795013540662</v>
      </c>
      <c r="J22" s="68">
        <f t="shared" si="6"/>
        <v>1.1593590621459748</v>
      </c>
      <c r="K22" s="68">
        <f t="shared" si="6"/>
        <v>1.0907175816866115</v>
      </c>
      <c r="L22" s="68">
        <f t="shared" si="6"/>
        <v>1.0216818065060931</v>
      </c>
    </row>
    <row r="23" spans="3:14" ht="28.8" customHeight="1" x14ac:dyDescent="0.3">
      <c r="C23" s="59" t="s">
        <v>16</v>
      </c>
      <c r="D23" s="25">
        <f>D21/-$C$3</f>
        <v>18.794345690612332</v>
      </c>
      <c r="E23" s="25">
        <f t="shared" ref="E23:L23" si="7">E21/-$C$3</f>
        <v>15.503469893209521</v>
      </c>
      <c r="F23" s="25">
        <f t="shared" si="7"/>
        <v>12.786553489550432</v>
      </c>
      <c r="G23" s="25">
        <f t="shared" si="7"/>
        <v>15.429306923208239</v>
      </c>
      <c r="H23" s="25">
        <f t="shared" si="7"/>
        <v>12.697880011363905</v>
      </c>
      <c r="I23" s="25">
        <f t="shared" si="7"/>
        <v>10.442839396326859</v>
      </c>
      <c r="J23" s="25">
        <f t="shared" si="7"/>
        <v>12.064268155804143</v>
      </c>
      <c r="K23" s="25">
        <f t="shared" si="7"/>
        <v>9.8922901295182868</v>
      </c>
      <c r="L23" s="25">
        <f t="shared" si="7"/>
        <v>8.0991253031032855</v>
      </c>
    </row>
    <row r="24" spans="3:14" ht="28.8" customHeight="1" x14ac:dyDescent="0.3">
      <c r="C24" s="58" t="s">
        <v>120</v>
      </c>
      <c r="D24" s="68">
        <f>-$C$3/$C$4</f>
        <v>0.41950404503234029</v>
      </c>
      <c r="E24" s="68">
        <f t="shared" ref="E24:F24" si="8">-$C$3/$C$4</f>
        <v>0.41950404503234029</v>
      </c>
      <c r="F24" s="68">
        <f t="shared" si="8"/>
        <v>0.41950404503234029</v>
      </c>
      <c r="G24" s="68">
        <f>-$D$3/$D$4</f>
        <v>0.50542656027992805</v>
      </c>
      <c r="H24" s="68">
        <f t="shared" ref="H24:I24" si="9">-$D$3/$D$4</f>
        <v>0.50542656027992805</v>
      </c>
      <c r="I24" s="68">
        <f t="shared" si="9"/>
        <v>0.50542656027992805</v>
      </c>
      <c r="J24" s="68">
        <f>-$E$3/$E$4</f>
        <v>0.63561218944293985</v>
      </c>
      <c r="K24" s="68">
        <f t="shared" ref="K24:L24" si="10">-$E$3/$E$4</f>
        <v>0.63561218944293985</v>
      </c>
      <c r="L24" s="68">
        <f t="shared" si="10"/>
        <v>0.63561218944293985</v>
      </c>
    </row>
    <row r="26" spans="3:14" ht="28.8" customHeight="1" x14ac:dyDescent="0.3">
      <c r="C26" s="59" t="s">
        <v>72</v>
      </c>
      <c r="D26" s="60" t="s">
        <v>48</v>
      </c>
      <c r="E26" s="60"/>
      <c r="F26" s="60"/>
      <c r="G26" s="60"/>
      <c r="H26" s="60"/>
      <c r="I26" s="60"/>
      <c r="J26" s="60"/>
      <c r="K26" s="60"/>
      <c r="L26" s="60"/>
      <c r="M26" s="21"/>
      <c r="N26" s="58" t="s">
        <v>116</v>
      </c>
    </row>
    <row r="27" spans="3:14" ht="15.6" x14ac:dyDescent="0.3">
      <c r="C27" s="59">
        <v>0</v>
      </c>
      <c r="D27" s="22">
        <f>C3*F3</f>
        <v>-342534.5</v>
      </c>
      <c r="E27" s="22">
        <f>C3*G3</f>
        <v>-342534.5</v>
      </c>
      <c r="F27" s="22">
        <f>C3*H3</f>
        <v>-342534.5</v>
      </c>
      <c r="G27" s="22">
        <f>D3*F3</f>
        <v>-342534.5</v>
      </c>
      <c r="H27" s="22">
        <f>D3*G3</f>
        <v>-342534.5</v>
      </c>
      <c r="I27" s="23">
        <f>D3*H3</f>
        <v>-342534.5</v>
      </c>
      <c r="J27" s="22">
        <f>E3*F3</f>
        <v>-342534.5</v>
      </c>
      <c r="K27" s="22">
        <f>E3*G3</f>
        <v>-342534.5</v>
      </c>
      <c r="L27" s="22">
        <f>E3*H3</f>
        <v>-342534.5</v>
      </c>
      <c r="M27" s="21"/>
      <c r="N27" s="22">
        <f t="shared" ref="N27:N37" si="11">$D$19*D27+$E$19*E27+$F$19*F27+$G$19*G27+$H$19*H27+$I$19*I27+$J$19*J27+$K$19*K27+$L$19*L27</f>
        <v>-342534.50000000006</v>
      </c>
    </row>
    <row r="28" spans="3:14" ht="15.6" x14ac:dyDescent="0.3">
      <c r="C28" s="59">
        <v>1</v>
      </c>
      <c r="D28" s="22">
        <f>C4*F4</f>
        <v>585320.80286738346</v>
      </c>
      <c r="E28" s="22">
        <f t="shared" ref="E28:E37" si="12">C4*G4</f>
        <v>566714.68628539704</v>
      </c>
      <c r="F28" s="22">
        <f t="shared" ref="F28:F37" si="13">C4*H4</f>
        <v>548001.69127516786</v>
      </c>
      <c r="G28" s="22">
        <f t="shared" ref="G28:G37" si="14">D4*F4</f>
        <v>485816.26637992833</v>
      </c>
      <c r="H28" s="22">
        <f t="shared" ref="H28:H37" si="15">D4*G4</f>
        <v>470373.18961687956</v>
      </c>
      <c r="I28" s="23">
        <f t="shared" ref="I28:I37" si="16">D4*H4</f>
        <v>454841.40375838929</v>
      </c>
      <c r="J28" s="22">
        <f t="shared" ref="J28:J37" si="17">E4*F4</f>
        <v>386311.72989247314</v>
      </c>
      <c r="K28" s="22">
        <f t="shared" ref="K28:K37" si="18">E4*G4</f>
        <v>374031.69294836209</v>
      </c>
      <c r="L28" s="22">
        <f t="shared" ref="L28:L37" si="19">E4*H4</f>
        <v>361681.11624161078</v>
      </c>
      <c r="M28" s="21"/>
      <c r="N28" s="22">
        <f t="shared" si="11"/>
        <v>515350.66114679637</v>
      </c>
    </row>
    <row r="29" spans="3:14" ht="15.6" x14ac:dyDescent="0.3">
      <c r="C29" s="59">
        <v>2</v>
      </c>
      <c r="D29" s="22">
        <f>C5*F5</f>
        <v>604202.11908891192</v>
      </c>
      <c r="E29" s="22">
        <f t="shared" si="12"/>
        <v>566400.01960783708</v>
      </c>
      <c r="F29" s="22">
        <f t="shared" si="13"/>
        <v>529612.37277600099</v>
      </c>
      <c r="G29" s="22">
        <f t="shared" si="14"/>
        <v>501487.75884379697</v>
      </c>
      <c r="H29" s="22">
        <f t="shared" si="15"/>
        <v>470112.01627450483</v>
      </c>
      <c r="I29" s="23">
        <f t="shared" si="16"/>
        <v>439578.26940408087</v>
      </c>
      <c r="J29" s="22">
        <f t="shared" si="17"/>
        <v>398773.3985986819</v>
      </c>
      <c r="K29" s="22">
        <f t="shared" si="18"/>
        <v>373824.01294117252</v>
      </c>
      <c r="L29" s="22">
        <f t="shared" si="19"/>
        <v>349544.16603216069</v>
      </c>
      <c r="M29" s="21"/>
      <c r="N29" s="22">
        <f t="shared" si="11"/>
        <v>516909.04249110963</v>
      </c>
    </row>
    <row r="30" spans="3:14" ht="15.6" x14ac:dyDescent="0.3">
      <c r="C30" s="59">
        <v>3</v>
      </c>
      <c r="D30" s="22">
        <f>C6*F6</f>
        <v>623692.51002726378</v>
      </c>
      <c r="E30" s="22">
        <f t="shared" si="12"/>
        <v>566085.52764803264</v>
      </c>
      <c r="F30" s="22">
        <f t="shared" si="13"/>
        <v>511840.14550163859</v>
      </c>
      <c r="G30" s="22">
        <f t="shared" si="14"/>
        <v>517664.78332262905</v>
      </c>
      <c r="H30" s="22">
        <f t="shared" si="15"/>
        <v>469850.98794786714</v>
      </c>
      <c r="I30" s="23">
        <f t="shared" si="16"/>
        <v>424827.32076636009</v>
      </c>
      <c r="J30" s="22">
        <f t="shared" si="17"/>
        <v>411637.05661799415</v>
      </c>
      <c r="K30" s="22">
        <f t="shared" si="18"/>
        <v>373616.44824770157</v>
      </c>
      <c r="L30" s="22">
        <f t="shared" si="19"/>
        <v>337814.49603108154</v>
      </c>
      <c r="M30" s="21"/>
      <c r="N30" s="22">
        <f t="shared" si="11"/>
        <v>518746.42706666887</v>
      </c>
    </row>
    <row r="31" spans="3:14" ht="15.6" x14ac:dyDescent="0.3">
      <c r="C31" s="59">
        <v>4</v>
      </c>
      <c r="D31" s="22">
        <f>C7*F7</f>
        <v>643811.6232539498</v>
      </c>
      <c r="E31" s="22">
        <f t="shared" si="12"/>
        <v>565771.21030897216</v>
      </c>
      <c r="F31" s="22">
        <f t="shared" si="13"/>
        <v>494664.30169285869</v>
      </c>
      <c r="G31" s="22">
        <f t="shared" si="14"/>
        <v>534363.64730077842</v>
      </c>
      <c r="H31" s="22">
        <f t="shared" si="15"/>
        <v>469590.10455644695</v>
      </c>
      <c r="I31" s="23">
        <f t="shared" si="16"/>
        <v>410571.37040507275</v>
      </c>
      <c r="J31" s="22">
        <f t="shared" si="17"/>
        <v>424915.67134760693</v>
      </c>
      <c r="K31" s="22">
        <f t="shared" si="18"/>
        <v>373408.99880392174</v>
      </c>
      <c r="L31" s="22">
        <f t="shared" si="19"/>
        <v>326478.43911728682</v>
      </c>
      <c r="M31" s="21"/>
      <c r="N31" s="22">
        <f t="shared" si="11"/>
        <v>520864.29308837262</v>
      </c>
    </row>
    <row r="32" spans="3:14" ht="15.6" x14ac:dyDescent="0.3">
      <c r="C32" s="59">
        <v>5</v>
      </c>
      <c r="D32" s="22">
        <f>C8*F8</f>
        <v>664579.74013310927</v>
      </c>
      <c r="E32" s="22">
        <f t="shared" si="12"/>
        <v>565457.06749369798</v>
      </c>
      <c r="F32" s="22">
        <f t="shared" si="13"/>
        <v>478064.82848168898</v>
      </c>
      <c r="G32" s="22">
        <f t="shared" si="14"/>
        <v>551601.18431048084</v>
      </c>
      <c r="H32" s="22">
        <f t="shared" si="15"/>
        <v>469329.36601976946</v>
      </c>
      <c r="I32" s="23">
        <f t="shared" si="16"/>
        <v>396793.80763980193</v>
      </c>
      <c r="J32" s="22">
        <f t="shared" si="17"/>
        <v>438622.62848785229</v>
      </c>
      <c r="K32" s="22">
        <f t="shared" si="18"/>
        <v>373201.66454584082</v>
      </c>
      <c r="L32" s="22">
        <f t="shared" si="19"/>
        <v>315522.78679791483</v>
      </c>
      <c r="M32" s="21"/>
      <c r="N32" s="22">
        <f t="shared" si="11"/>
        <v>523264.41878251691</v>
      </c>
    </row>
    <row r="33" spans="3:14" ht="15.6" x14ac:dyDescent="0.3">
      <c r="C33" s="59">
        <v>6</v>
      </c>
      <c r="D33" s="22">
        <f>C9*F9</f>
        <v>686017.7962664353</v>
      </c>
      <c r="E33" s="22">
        <f t="shared" si="12"/>
        <v>565143.09910530609</v>
      </c>
      <c r="F33" s="22">
        <f t="shared" si="13"/>
        <v>462022.38457290735</v>
      </c>
      <c r="G33" s="22">
        <f t="shared" si="14"/>
        <v>569394.77090114146</v>
      </c>
      <c r="H33" s="22">
        <f t="shared" si="15"/>
        <v>469068.77225740417</v>
      </c>
      <c r="I33" s="23">
        <f t="shared" si="16"/>
        <v>383478.57919551322</v>
      </c>
      <c r="J33" s="22">
        <f t="shared" si="17"/>
        <v>452771.7455358475</v>
      </c>
      <c r="K33" s="22">
        <f t="shared" si="18"/>
        <v>372994.44540950219</v>
      </c>
      <c r="L33" s="22">
        <f t="shared" si="19"/>
        <v>304934.77381811896</v>
      </c>
      <c r="M33" s="21"/>
      <c r="N33" s="22">
        <f t="shared" si="11"/>
        <v>525948.88359728048</v>
      </c>
    </row>
    <row r="34" spans="3:14" ht="15.6" x14ac:dyDescent="0.3">
      <c r="C34" s="59">
        <v>7</v>
      </c>
      <c r="D34" s="22">
        <f>C10*F10</f>
        <v>708147.40259761061</v>
      </c>
      <c r="E34" s="22">
        <f t="shared" si="12"/>
        <v>564829.30504694674</v>
      </c>
      <c r="F34" s="22">
        <f t="shared" si="13"/>
        <v>446518.27770804468</v>
      </c>
      <c r="G34" s="22">
        <f t="shared" si="14"/>
        <v>587762.34415601694</v>
      </c>
      <c r="H34" s="22">
        <f t="shared" si="15"/>
        <v>468808.32318896591</v>
      </c>
      <c r="I34" s="23">
        <f t="shared" si="16"/>
        <v>370610.17049767717</v>
      </c>
      <c r="J34" s="22">
        <f t="shared" si="17"/>
        <v>467377.28571442317</v>
      </c>
      <c r="K34" s="22">
        <f t="shared" si="18"/>
        <v>372787.34133098496</v>
      </c>
      <c r="L34" s="22">
        <f t="shared" si="19"/>
        <v>294702.0632873096</v>
      </c>
      <c r="M34" s="21"/>
      <c r="N34" s="22">
        <f t="shared" si="11"/>
        <v>528920.0697363934</v>
      </c>
    </row>
    <row r="35" spans="3:14" ht="15.6" x14ac:dyDescent="0.3">
      <c r="C35" s="59">
        <v>8</v>
      </c>
      <c r="D35" s="22">
        <f>C11*F11</f>
        <v>730990.8671975336</v>
      </c>
      <c r="E35" s="22">
        <f t="shared" si="12"/>
        <v>564515.68522182363</v>
      </c>
      <c r="F35" s="22">
        <f t="shared" si="13"/>
        <v>431534.4428856271</v>
      </c>
      <c r="G35" s="22">
        <f t="shared" si="14"/>
        <v>606722.41977395304</v>
      </c>
      <c r="H35" s="22">
        <f t="shared" si="15"/>
        <v>468548.01873411372</v>
      </c>
      <c r="I35" s="23">
        <f t="shared" si="16"/>
        <v>358173.5875950706</v>
      </c>
      <c r="J35" s="22">
        <f t="shared" si="17"/>
        <v>482453.97235037229</v>
      </c>
      <c r="K35" s="22">
        <f t="shared" si="18"/>
        <v>372580.35224640369</v>
      </c>
      <c r="L35" s="22">
        <f t="shared" si="19"/>
        <v>284812.73230451398</v>
      </c>
      <c r="M35" s="21"/>
      <c r="N35" s="22">
        <f t="shared" si="11"/>
        <v>532180.66401688277</v>
      </c>
    </row>
    <row r="36" spans="3:14" ht="15.6" x14ac:dyDescent="0.3">
      <c r="C36" s="59">
        <v>9</v>
      </c>
      <c r="D36" s="22">
        <f>C12*F12</f>
        <v>754571.21775229264</v>
      </c>
      <c r="E36" s="22">
        <f t="shared" si="12"/>
        <v>564202.23953319411</v>
      </c>
      <c r="F36" s="22">
        <f t="shared" si="13"/>
        <v>417053.42131228396</v>
      </c>
      <c r="G36" s="22">
        <f t="shared" si="14"/>
        <v>626294.11073440302</v>
      </c>
      <c r="H36" s="22">
        <f t="shared" si="15"/>
        <v>468287.85881255119</v>
      </c>
      <c r="I36" s="23">
        <f t="shared" si="16"/>
        <v>346154.33968919574</v>
      </c>
      <c r="J36" s="22">
        <f t="shared" si="17"/>
        <v>498017.00371651328</v>
      </c>
      <c r="K36" s="22">
        <f t="shared" si="18"/>
        <v>372373.47809190821</v>
      </c>
      <c r="L36" s="22">
        <f t="shared" si="19"/>
        <v>275255.25806610746</v>
      </c>
      <c r="M36" s="21"/>
      <c r="N36" s="22">
        <f t="shared" si="11"/>
        <v>535733.66005213303</v>
      </c>
    </row>
    <row r="37" spans="3:14" ht="15.6" x14ac:dyDescent="0.3">
      <c r="C37" s="59">
        <v>10</v>
      </c>
      <c r="D37" s="22">
        <f>C13*F13</f>
        <v>778912.22477656021</v>
      </c>
      <c r="E37" s="22">
        <f t="shared" si="12"/>
        <v>563888.96788436943</v>
      </c>
      <c r="F37" s="22">
        <f t="shared" si="13"/>
        <v>403058.34006019391</v>
      </c>
      <c r="G37" s="22">
        <f t="shared" si="14"/>
        <v>646497.14656454511</v>
      </c>
      <c r="H37" s="22">
        <f t="shared" si="15"/>
        <v>468027.84334402671</v>
      </c>
      <c r="I37" s="23">
        <f t="shared" si="16"/>
        <v>334538.42224996095</v>
      </c>
      <c r="J37" s="22">
        <f t="shared" si="17"/>
        <v>514082.0683525299</v>
      </c>
      <c r="K37" s="22">
        <f t="shared" si="18"/>
        <v>372166.71880368394</v>
      </c>
      <c r="L37" s="22">
        <f t="shared" si="19"/>
        <v>266018.50443972804</v>
      </c>
      <c r="M37" s="21"/>
      <c r="N37" s="22">
        <f t="shared" si="11"/>
        <v>539582.36076185107</v>
      </c>
    </row>
    <row r="38" spans="3:14" ht="15" thickBot="1" x14ac:dyDescent="0.35">
      <c r="D38" s="22"/>
    </row>
    <row r="39" spans="3:14" ht="15.6" x14ac:dyDescent="0.3">
      <c r="C39" s="69" t="s">
        <v>13</v>
      </c>
      <c r="D39" s="70">
        <f>D19*D21+E19*E21+F19*F21+G19*G21+H19*H21+I19*I21+J19*J21+K19*K21+L19*L21</f>
        <v>4914965.9807400042</v>
      </c>
    </row>
    <row r="40" spans="3:14" ht="15.6" x14ac:dyDescent="0.3">
      <c r="C40" s="71" t="s">
        <v>47</v>
      </c>
      <c r="D40" s="72">
        <f>IRR(N27:N37)</f>
        <v>1.5077368235560074</v>
      </c>
    </row>
    <row r="41" spans="3:14" ht="15.6" x14ac:dyDescent="0.3">
      <c r="C41" s="71" t="s">
        <v>49</v>
      </c>
      <c r="D41" s="73">
        <f>D19*D23+E19*E23+F19*F23+G19*G23+H19*H23+I19*I23+J19*J23+K19*K23+L19*L23</f>
        <v>14.348820281577492</v>
      </c>
    </row>
    <row r="42" spans="3:14" ht="16.2" thickBot="1" x14ac:dyDescent="0.35">
      <c r="C42" s="74" t="s">
        <v>50</v>
      </c>
      <c r="D42" s="75">
        <f>D19*D24+E19*E24+F19*F24+G19*G24+H19*H24+I19*I24+J19*J24+K19*K24+L19*L24</f>
        <v>0.47334934199667861</v>
      </c>
    </row>
  </sheetData>
  <mergeCells count="1">
    <mergeCell ref="D26:L2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11"/>
  <sheetViews>
    <sheetView showGridLines="0" zoomScaleNormal="100" workbookViewId="0">
      <selection activeCell="F18" sqref="F18"/>
    </sheetView>
  </sheetViews>
  <sheetFormatPr defaultRowHeight="14.4" x14ac:dyDescent="0.3"/>
  <cols>
    <col min="1" max="1" width="3.77734375" customWidth="1"/>
    <col min="2" max="2" width="25" bestFit="1" customWidth="1"/>
    <col min="3" max="3" width="11.5546875" customWidth="1"/>
    <col min="4" max="4" width="2.21875" customWidth="1"/>
    <col min="5" max="5" width="41.77734375" customWidth="1"/>
    <col min="6" max="8" width="14.77734375" customWidth="1"/>
  </cols>
  <sheetData>
    <row r="2" spans="2:8" ht="30" customHeight="1" x14ac:dyDescent="0.3">
      <c r="B2" s="83" t="s">
        <v>77</v>
      </c>
      <c r="C2" s="84" t="s">
        <v>78</v>
      </c>
      <c r="D2" s="84"/>
      <c r="E2" s="83" t="s">
        <v>79</v>
      </c>
      <c r="F2" s="85" t="s">
        <v>80</v>
      </c>
      <c r="G2" s="85" t="s">
        <v>81</v>
      </c>
      <c r="H2" s="85" t="s">
        <v>82</v>
      </c>
    </row>
    <row r="3" spans="2:8" x14ac:dyDescent="0.3">
      <c r="B3" s="78" t="s">
        <v>42</v>
      </c>
      <c r="C3" s="80">
        <v>0.28689999999999999</v>
      </c>
      <c r="D3" s="81"/>
      <c r="E3" s="79" t="s">
        <v>73</v>
      </c>
      <c r="F3" s="77">
        <v>0.25</v>
      </c>
      <c r="G3" s="76">
        <v>0.28689999999999999</v>
      </c>
      <c r="H3" s="77">
        <v>0.32</v>
      </c>
    </row>
    <row r="4" spans="2:8" x14ac:dyDescent="0.3">
      <c r="B4" s="78" t="s">
        <v>43</v>
      </c>
      <c r="C4" s="80">
        <v>3.39E-2</v>
      </c>
      <c r="D4" s="81"/>
      <c r="E4" s="79" t="s">
        <v>74</v>
      </c>
      <c r="F4" s="77">
        <v>2.5000000000000001E-2</v>
      </c>
      <c r="G4" s="76">
        <v>3.39E-2</v>
      </c>
      <c r="H4" s="77">
        <v>0.05</v>
      </c>
    </row>
    <row r="5" spans="2:8" x14ac:dyDescent="0.3">
      <c r="B5" s="78" t="s">
        <v>44</v>
      </c>
      <c r="C5" s="80">
        <v>0.12</v>
      </c>
      <c r="D5" s="81"/>
      <c r="E5" s="79" t="s">
        <v>75</v>
      </c>
      <c r="F5" s="77">
        <v>0.12</v>
      </c>
      <c r="G5" s="76">
        <v>0.12</v>
      </c>
      <c r="H5" s="77">
        <v>0.12</v>
      </c>
    </row>
    <row r="6" spans="2:8" x14ac:dyDescent="0.3">
      <c r="B6" s="78" t="s">
        <v>45</v>
      </c>
      <c r="C6" s="86">
        <f>SUM(C3:C5)</f>
        <v>0.44079999999999997</v>
      </c>
      <c r="D6" s="82"/>
      <c r="E6" s="79" t="s">
        <v>76</v>
      </c>
      <c r="F6" s="87">
        <f>SUM(F3:F5)</f>
        <v>0.39500000000000002</v>
      </c>
      <c r="G6" s="87">
        <f t="shared" ref="G6:H6" si="0">SUM(G3:G5)</f>
        <v>0.44079999999999997</v>
      </c>
      <c r="H6" s="87">
        <f t="shared" si="0"/>
        <v>0.49</v>
      </c>
    </row>
    <row r="7" spans="2:8" x14ac:dyDescent="0.3">
      <c r="B7" s="13"/>
      <c r="C7" s="12"/>
      <c r="D7" s="12"/>
      <c r="E7" s="13"/>
    </row>
    <row r="8" spans="2:8" x14ac:dyDescent="0.3">
      <c r="B8" s="13"/>
      <c r="C8" s="12"/>
      <c r="D8" s="12"/>
      <c r="E8" s="13"/>
    </row>
    <row r="9" spans="2:8" x14ac:dyDescent="0.3">
      <c r="B9" s="13"/>
      <c r="C9" s="12"/>
      <c r="D9" s="12"/>
      <c r="E9" s="13"/>
    </row>
    <row r="10" spans="2:8" x14ac:dyDescent="0.3">
      <c r="B10" s="13"/>
      <c r="C10" s="12"/>
      <c r="D10" s="12"/>
      <c r="E10" s="13"/>
    </row>
    <row r="11" spans="2:8" x14ac:dyDescent="0.3">
      <c r="B11" s="13"/>
      <c r="C11" s="12"/>
      <c r="D11" s="12"/>
      <c r="E11" s="13"/>
    </row>
  </sheetData>
  <mergeCells count="1">
    <mergeCell ref="C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I21"/>
  <sheetViews>
    <sheetView showGridLines="0" tabSelected="1" workbookViewId="0">
      <selection activeCell="H20" sqref="H20"/>
    </sheetView>
  </sheetViews>
  <sheetFormatPr defaultRowHeight="14.4" x14ac:dyDescent="0.3"/>
  <cols>
    <col min="1" max="1" width="8.88671875" customWidth="1"/>
    <col min="2" max="2" width="18.33203125" customWidth="1"/>
    <col min="3" max="5" width="20.77734375" customWidth="1"/>
    <col min="8" max="8" width="11.109375" bestFit="1" customWidth="1"/>
  </cols>
  <sheetData>
    <row r="2" spans="2:9" ht="28.8" customHeight="1" x14ac:dyDescent="0.3">
      <c r="B2" s="109"/>
      <c r="C2" s="110" t="s">
        <v>97</v>
      </c>
      <c r="D2" s="110" t="s">
        <v>98</v>
      </c>
      <c r="E2" s="110" t="s">
        <v>99</v>
      </c>
      <c r="G2" s="112">
        <v>1</v>
      </c>
      <c r="H2" s="112">
        <v>0.83</v>
      </c>
      <c r="I2" s="112">
        <v>0.66</v>
      </c>
    </row>
    <row r="3" spans="2:9" x14ac:dyDescent="0.3">
      <c r="B3" s="93" t="s">
        <v>83</v>
      </c>
      <c r="C3" s="62">
        <v>1335000</v>
      </c>
      <c r="D3" s="2">
        <f>C3*H2</f>
        <v>1108050</v>
      </c>
      <c r="E3" s="2">
        <f>C3*I2</f>
        <v>881100</v>
      </c>
    </row>
    <row r="4" spans="2:9" x14ac:dyDescent="0.3">
      <c r="B4" s="93" t="s">
        <v>84</v>
      </c>
      <c r="C4" s="62">
        <v>342534.5</v>
      </c>
      <c r="D4" s="2">
        <f>C4</f>
        <v>342534.5</v>
      </c>
      <c r="E4" s="2">
        <f>C4</f>
        <v>342534.5</v>
      </c>
    </row>
    <row r="5" spans="2:9" x14ac:dyDescent="0.3">
      <c r="B5" s="93" t="s">
        <v>85</v>
      </c>
      <c r="C5" s="62">
        <v>518477.48</v>
      </c>
      <c r="D5" s="111">
        <f>C5*H2</f>
        <v>430336.30839999998</v>
      </c>
      <c r="E5" s="111">
        <f>C5*I2</f>
        <v>342195.13679999998</v>
      </c>
    </row>
    <row r="6" spans="2:9" x14ac:dyDescent="0.3">
      <c r="B6" s="88"/>
      <c r="C6" s="21"/>
      <c r="D6" s="21"/>
      <c r="E6" s="21"/>
    </row>
    <row r="7" spans="2:9" x14ac:dyDescent="0.3">
      <c r="B7" s="93" t="s">
        <v>86</v>
      </c>
      <c r="C7" s="2">
        <f>-C4</f>
        <v>-342534.5</v>
      </c>
      <c r="D7" s="2">
        <f t="shared" ref="D7:E7" si="0">-D4</f>
        <v>-342534.5</v>
      </c>
      <c r="E7" s="2">
        <f t="shared" si="0"/>
        <v>-342534.5</v>
      </c>
    </row>
    <row r="8" spans="2:9" x14ac:dyDescent="0.3">
      <c r="B8" s="93" t="s">
        <v>87</v>
      </c>
      <c r="C8" s="111">
        <f>($C$3-$C$5)</f>
        <v>816522.52</v>
      </c>
      <c r="D8" s="111">
        <f>($D$3-$D$5)</f>
        <v>677713.69160000002</v>
      </c>
      <c r="E8" s="111">
        <f>($E$3-$E$5)</f>
        <v>538904.86320000002</v>
      </c>
    </row>
    <row r="9" spans="2:9" x14ac:dyDescent="0.3">
      <c r="B9" s="93" t="s">
        <v>88</v>
      </c>
      <c r="C9" s="2">
        <f t="shared" ref="C9:C17" si="1">($C$3-$C$5)</f>
        <v>816522.52</v>
      </c>
      <c r="D9" s="62">
        <f t="shared" ref="D9:D17" si="2">($D$3-$D$5)</f>
        <v>677713.69160000002</v>
      </c>
      <c r="E9" s="62">
        <f t="shared" ref="E9:E17" si="3">($E$3-$E$5)</f>
        <v>538904.86320000002</v>
      </c>
    </row>
    <row r="10" spans="2:9" x14ac:dyDescent="0.3">
      <c r="B10" s="93" t="s">
        <v>89</v>
      </c>
      <c r="C10" s="2">
        <f t="shared" si="1"/>
        <v>816522.52</v>
      </c>
      <c r="D10" s="62">
        <f t="shared" si="2"/>
        <v>677713.69160000002</v>
      </c>
      <c r="E10" s="62">
        <f t="shared" si="3"/>
        <v>538904.86320000002</v>
      </c>
    </row>
    <row r="11" spans="2:9" x14ac:dyDescent="0.3">
      <c r="B11" s="93" t="s">
        <v>90</v>
      </c>
      <c r="C11" s="2">
        <f t="shared" si="1"/>
        <v>816522.52</v>
      </c>
      <c r="D11" s="62">
        <f t="shared" si="2"/>
        <v>677713.69160000002</v>
      </c>
      <c r="E11" s="62">
        <f t="shared" si="3"/>
        <v>538904.86320000002</v>
      </c>
    </row>
    <row r="12" spans="2:9" x14ac:dyDescent="0.3">
      <c r="B12" s="93" t="s">
        <v>91</v>
      </c>
      <c r="C12" s="2">
        <f t="shared" si="1"/>
        <v>816522.52</v>
      </c>
      <c r="D12" s="62">
        <f t="shared" si="2"/>
        <v>677713.69160000002</v>
      </c>
      <c r="E12" s="62">
        <f t="shared" si="3"/>
        <v>538904.86320000002</v>
      </c>
    </row>
    <row r="13" spans="2:9" x14ac:dyDescent="0.3">
      <c r="B13" s="93" t="s">
        <v>92</v>
      </c>
      <c r="C13" s="2">
        <f t="shared" si="1"/>
        <v>816522.52</v>
      </c>
      <c r="D13" s="62">
        <f t="shared" si="2"/>
        <v>677713.69160000002</v>
      </c>
      <c r="E13" s="62">
        <f t="shared" si="3"/>
        <v>538904.86320000002</v>
      </c>
    </row>
    <row r="14" spans="2:9" x14ac:dyDescent="0.3">
      <c r="B14" s="93" t="s">
        <v>93</v>
      </c>
      <c r="C14" s="2">
        <f t="shared" si="1"/>
        <v>816522.52</v>
      </c>
      <c r="D14" s="62">
        <f t="shared" si="2"/>
        <v>677713.69160000002</v>
      </c>
      <c r="E14" s="62">
        <f t="shared" si="3"/>
        <v>538904.86320000002</v>
      </c>
    </row>
    <row r="15" spans="2:9" x14ac:dyDescent="0.3">
      <c r="B15" s="93" t="s">
        <v>94</v>
      </c>
      <c r="C15" s="2">
        <f t="shared" si="1"/>
        <v>816522.52</v>
      </c>
      <c r="D15" s="62">
        <f t="shared" si="2"/>
        <v>677713.69160000002</v>
      </c>
      <c r="E15" s="62">
        <f t="shared" si="3"/>
        <v>538904.86320000002</v>
      </c>
    </row>
    <row r="16" spans="2:9" x14ac:dyDescent="0.3">
      <c r="B16" s="93" t="s">
        <v>95</v>
      </c>
      <c r="C16" s="2">
        <f t="shared" si="1"/>
        <v>816522.52</v>
      </c>
      <c r="D16" s="62">
        <f t="shared" si="2"/>
        <v>677713.69160000002</v>
      </c>
      <c r="E16" s="62">
        <f t="shared" si="3"/>
        <v>538904.86320000002</v>
      </c>
    </row>
    <row r="17" spans="2:5" x14ac:dyDescent="0.3">
      <c r="B17" s="93" t="s">
        <v>96</v>
      </c>
      <c r="C17" s="2">
        <f t="shared" si="1"/>
        <v>816522.52</v>
      </c>
      <c r="D17" s="62">
        <f t="shared" si="2"/>
        <v>677713.69160000002</v>
      </c>
      <c r="E17" s="62">
        <f t="shared" si="3"/>
        <v>538904.86320000002</v>
      </c>
    </row>
    <row r="21" spans="2:5" x14ac:dyDescent="0.3">
      <c r="D21" s="3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O1002"/>
  <sheetViews>
    <sheetView showGridLines="0" zoomScaleNormal="100" workbookViewId="0">
      <selection activeCell="M19" sqref="M19"/>
    </sheetView>
  </sheetViews>
  <sheetFormatPr defaultRowHeight="14.4" x14ac:dyDescent="0.3"/>
  <cols>
    <col min="2" max="2" width="12.88671875" bestFit="1" customWidth="1"/>
    <col min="3" max="3" width="12.88671875" customWidth="1"/>
    <col min="4" max="4" width="13.6640625" bestFit="1" customWidth="1"/>
    <col min="5" max="5" width="13.6640625" customWidth="1"/>
    <col min="6" max="6" width="14.44140625" bestFit="1" customWidth="1"/>
    <col min="8" max="8" width="13.109375" bestFit="1" customWidth="1"/>
    <col min="9" max="9" width="11.44140625" bestFit="1" customWidth="1"/>
    <col min="10" max="10" width="12.109375" bestFit="1" customWidth="1"/>
    <col min="11" max="11" width="10.5546875" customWidth="1"/>
    <col min="13" max="13" width="20.44140625" customWidth="1"/>
    <col min="14" max="14" width="23.21875" customWidth="1"/>
    <col min="15" max="15" width="21.5546875" customWidth="1"/>
  </cols>
  <sheetData>
    <row r="2" spans="2:15" x14ac:dyDescent="0.3">
      <c r="B2" s="93" t="s">
        <v>51</v>
      </c>
      <c r="C2" s="93" t="s">
        <v>56</v>
      </c>
      <c r="D2" s="93" t="s">
        <v>52</v>
      </c>
      <c r="E2" s="93" t="s">
        <v>57</v>
      </c>
      <c r="F2" s="93" t="s">
        <v>53</v>
      </c>
      <c r="H2" s="20" t="s">
        <v>60</v>
      </c>
      <c r="I2" s="20" t="s">
        <v>58</v>
      </c>
      <c r="J2" s="20" t="s">
        <v>59</v>
      </c>
      <c r="L2" s="90" t="s">
        <v>114</v>
      </c>
      <c r="M2" s="91" t="s">
        <v>12</v>
      </c>
      <c r="N2" s="91" t="s">
        <v>112</v>
      </c>
      <c r="O2" s="91" t="s">
        <v>113</v>
      </c>
    </row>
    <row r="3" spans="2:15" x14ac:dyDescent="0.3">
      <c r="B3" s="65" t="s">
        <v>54</v>
      </c>
      <c r="C3" s="94">
        <v>0.2</v>
      </c>
      <c r="D3" s="65" t="s">
        <v>54</v>
      </c>
      <c r="E3" s="65">
        <v>60</v>
      </c>
      <c r="F3" s="92">
        <v>6437711.8039610498</v>
      </c>
      <c r="H3" s="89">
        <v>1</v>
      </c>
      <c r="I3" s="89">
        <f ca="1">RANDBETWEEN(0,1)</f>
        <v>0</v>
      </c>
      <c r="J3" s="89">
        <f ca="1">RANDBETWEEN(0,1)</f>
        <v>1</v>
      </c>
      <c r="L3" s="90"/>
      <c r="M3" s="2">
        <v>2774229.8361358326</v>
      </c>
      <c r="N3" s="89">
        <v>305</v>
      </c>
      <c r="O3" s="89">
        <v>3.05</v>
      </c>
    </row>
    <row r="4" spans="2:15" x14ac:dyDescent="0.3">
      <c r="B4" s="65" t="s">
        <v>54</v>
      </c>
      <c r="C4" s="94">
        <v>0.2</v>
      </c>
      <c r="D4" s="65" t="s">
        <v>46</v>
      </c>
      <c r="E4" s="65">
        <v>25</v>
      </c>
      <c r="F4" s="92">
        <v>5285069.9322876725</v>
      </c>
      <c r="H4" s="89">
        <v>2</v>
      </c>
      <c r="I4" s="89">
        <f t="shared" ref="I4:J67" ca="1" si="0">RANDBETWEEN(0,1)</f>
        <v>1</v>
      </c>
      <c r="J4" s="89">
        <f t="shared" ca="1" si="0"/>
        <v>0</v>
      </c>
      <c r="L4" s="90"/>
      <c r="M4" s="2">
        <v>3388450.6533694817</v>
      </c>
      <c r="N4" s="89">
        <v>766</v>
      </c>
      <c r="O4" s="89">
        <v>7.66</v>
      </c>
    </row>
    <row r="5" spans="2:15" x14ac:dyDescent="0.3">
      <c r="B5" s="65" t="s">
        <v>54</v>
      </c>
      <c r="C5" s="94">
        <v>0.2</v>
      </c>
      <c r="D5" s="65" t="s">
        <v>55</v>
      </c>
      <c r="E5" s="65">
        <v>15</v>
      </c>
      <c r="F5" s="92">
        <v>4132428.0606142944</v>
      </c>
      <c r="H5" s="89">
        <v>3</v>
      </c>
      <c r="I5" s="89">
        <f t="shared" ca="1" si="0"/>
        <v>0</v>
      </c>
      <c r="J5" s="89">
        <f t="shared" ca="1" si="0"/>
        <v>0</v>
      </c>
      <c r="L5" s="90"/>
      <c r="M5" s="2">
        <v>3577032.7712011226</v>
      </c>
      <c r="N5" s="89">
        <v>517</v>
      </c>
      <c r="O5" s="89">
        <v>5.17</v>
      </c>
    </row>
    <row r="6" spans="2:15" x14ac:dyDescent="0.3">
      <c r="B6" s="65" t="s">
        <v>46</v>
      </c>
      <c r="C6" s="94">
        <v>0.5</v>
      </c>
      <c r="D6" s="65" t="s">
        <v>54</v>
      </c>
      <c r="E6" s="65">
        <v>60</v>
      </c>
      <c r="F6" s="92">
        <v>5310473.3081355765</v>
      </c>
      <c r="H6" s="89">
        <v>4</v>
      </c>
      <c r="I6" s="89">
        <f t="shared" ca="1" si="0"/>
        <v>1</v>
      </c>
      <c r="J6" s="89">
        <f t="shared" ca="1" si="0"/>
        <v>0</v>
      </c>
      <c r="L6" s="90"/>
      <c r="M6" s="2">
        <v>4132428.0606142944</v>
      </c>
      <c r="N6" s="89">
        <v>429</v>
      </c>
      <c r="O6" s="89">
        <v>4.29</v>
      </c>
    </row>
    <row r="7" spans="2:15" x14ac:dyDescent="0.3">
      <c r="B7" s="65" t="s">
        <v>46</v>
      </c>
      <c r="C7" s="94">
        <v>0.5</v>
      </c>
      <c r="D7" s="65" t="s">
        <v>46</v>
      </c>
      <c r="E7" s="65">
        <v>25</v>
      </c>
      <c r="F7" s="92">
        <v>4349461.9807525296</v>
      </c>
      <c r="H7" s="89">
        <v>5</v>
      </c>
      <c r="I7" s="89">
        <f t="shared" ca="1" si="0"/>
        <v>0</v>
      </c>
      <c r="J7" s="89">
        <f t="shared" ca="1" si="0"/>
        <v>0</v>
      </c>
      <c r="L7" s="90"/>
      <c r="M7" s="2">
        <v>4349461.9807525296</v>
      </c>
      <c r="N7" s="89">
        <v>1245</v>
      </c>
      <c r="O7" s="89">
        <v>12.45</v>
      </c>
    </row>
    <row r="8" spans="2:15" x14ac:dyDescent="0.3">
      <c r="B8" s="65" t="s">
        <v>46</v>
      </c>
      <c r="C8" s="94">
        <v>0.5</v>
      </c>
      <c r="D8" s="65" t="s">
        <v>55</v>
      </c>
      <c r="E8" s="65">
        <v>15</v>
      </c>
      <c r="F8" s="92">
        <v>3388450.6533694817</v>
      </c>
      <c r="H8" s="89">
        <v>6</v>
      </c>
      <c r="I8" s="89">
        <f t="shared" ca="1" si="0"/>
        <v>0</v>
      </c>
      <c r="J8" s="89">
        <f t="shared" ca="1" si="0"/>
        <v>1</v>
      </c>
      <c r="L8" s="90"/>
      <c r="M8" s="2">
        <v>4379835.7062664125</v>
      </c>
      <c r="N8" s="89">
        <v>1221</v>
      </c>
      <c r="O8" s="89">
        <v>12.21</v>
      </c>
    </row>
    <row r="9" spans="2:15" x14ac:dyDescent="0.3">
      <c r="B9" s="65" t="s">
        <v>55</v>
      </c>
      <c r="C9" s="94">
        <v>0.3</v>
      </c>
      <c r="D9" s="65" t="s">
        <v>54</v>
      </c>
      <c r="E9" s="65">
        <v>60</v>
      </c>
      <c r="F9" s="92">
        <v>4379835.7062664125</v>
      </c>
      <c r="H9" s="89">
        <v>7</v>
      </c>
      <c r="I9" s="89">
        <f t="shared" ca="1" si="0"/>
        <v>1</v>
      </c>
      <c r="J9" s="89">
        <f t="shared" ca="1" si="0"/>
        <v>0</v>
      </c>
      <c r="L9" s="90"/>
      <c r="M9" s="2">
        <v>5285069.9322876725</v>
      </c>
      <c r="N9" s="89">
        <v>732</v>
      </c>
      <c r="O9" s="89">
        <v>7.32</v>
      </c>
    </row>
    <row r="10" spans="2:15" x14ac:dyDescent="0.3">
      <c r="B10" s="65" t="s">
        <v>55</v>
      </c>
      <c r="C10" s="94">
        <v>0.3</v>
      </c>
      <c r="D10" s="65" t="s">
        <v>46</v>
      </c>
      <c r="E10" s="65">
        <v>25</v>
      </c>
      <c r="F10" s="92">
        <v>3577032.7712011226</v>
      </c>
      <c r="H10" s="89">
        <v>8</v>
      </c>
      <c r="I10" s="89">
        <f t="shared" ca="1" si="0"/>
        <v>0</v>
      </c>
      <c r="J10" s="89">
        <f t="shared" ca="1" si="0"/>
        <v>0</v>
      </c>
      <c r="L10" s="90"/>
      <c r="M10" s="2">
        <v>5310473.3081355765</v>
      </c>
      <c r="N10" s="89">
        <v>2972</v>
      </c>
      <c r="O10" s="89">
        <v>29.72</v>
      </c>
    </row>
    <row r="11" spans="2:15" x14ac:dyDescent="0.3">
      <c r="B11" s="65" t="s">
        <v>55</v>
      </c>
      <c r="C11" s="94">
        <v>0.3</v>
      </c>
      <c r="D11" s="65" t="s">
        <v>55</v>
      </c>
      <c r="E11" s="65">
        <v>15</v>
      </c>
      <c r="F11" s="92">
        <v>2774229.8361358326</v>
      </c>
      <c r="H11" s="89">
        <v>9</v>
      </c>
      <c r="I11" s="89">
        <f t="shared" ca="1" si="0"/>
        <v>0</v>
      </c>
      <c r="J11" s="89">
        <f t="shared" ca="1" si="0"/>
        <v>1</v>
      </c>
      <c r="L11" s="90"/>
      <c r="M11" s="92">
        <v>6437711.8039610498</v>
      </c>
      <c r="N11" s="89">
        <v>1813</v>
      </c>
      <c r="O11" s="89">
        <v>18.13</v>
      </c>
    </row>
    <row r="12" spans="2:15" x14ac:dyDescent="0.3">
      <c r="H12" s="89">
        <v>10</v>
      </c>
      <c r="I12" s="89">
        <f t="shared" ca="1" si="0"/>
        <v>0</v>
      </c>
      <c r="J12" s="89">
        <f t="shared" ca="1" si="0"/>
        <v>0</v>
      </c>
    </row>
    <row r="13" spans="2:15" x14ac:dyDescent="0.3">
      <c r="H13" s="89">
        <v>11</v>
      </c>
      <c r="I13" s="89">
        <f t="shared" ca="1" si="0"/>
        <v>1</v>
      </c>
      <c r="J13" s="89">
        <f t="shared" ca="1" si="0"/>
        <v>0</v>
      </c>
    </row>
    <row r="14" spans="2:15" x14ac:dyDescent="0.3">
      <c r="H14" s="89">
        <v>12</v>
      </c>
      <c r="I14" s="89">
        <f t="shared" ca="1" si="0"/>
        <v>0</v>
      </c>
      <c r="J14" s="89">
        <f t="shared" ca="1" si="0"/>
        <v>1</v>
      </c>
    </row>
    <row r="15" spans="2:15" x14ac:dyDescent="0.3">
      <c r="C15" s="24"/>
      <c r="D15" s="24"/>
      <c r="E15" s="24"/>
      <c r="H15" s="89">
        <v>13</v>
      </c>
      <c r="I15" s="89">
        <f t="shared" ca="1" si="0"/>
        <v>0</v>
      </c>
      <c r="J15" s="89">
        <f t="shared" ca="1" si="0"/>
        <v>0</v>
      </c>
    </row>
    <row r="16" spans="2:15" x14ac:dyDescent="0.3">
      <c r="C16" s="21"/>
      <c r="D16" s="21"/>
      <c r="E16" s="21"/>
      <c r="H16" s="89">
        <v>14</v>
      </c>
      <c r="I16" s="89">
        <f t="shared" ca="1" si="0"/>
        <v>1</v>
      </c>
      <c r="J16" s="89">
        <f t="shared" ca="1" si="0"/>
        <v>0</v>
      </c>
    </row>
    <row r="17" spans="3:10" x14ac:dyDescent="0.3">
      <c r="C17" s="21"/>
      <c r="D17" s="21"/>
      <c r="E17" s="21"/>
      <c r="H17" s="89">
        <v>15</v>
      </c>
      <c r="I17" s="89">
        <f t="shared" ca="1" si="0"/>
        <v>0</v>
      </c>
      <c r="J17" s="89">
        <f t="shared" ca="1" si="0"/>
        <v>1</v>
      </c>
    </row>
    <row r="18" spans="3:10" x14ac:dyDescent="0.3">
      <c r="C18" s="21"/>
      <c r="D18" s="21"/>
      <c r="E18" s="21"/>
      <c r="H18" s="89">
        <v>16</v>
      </c>
      <c r="I18" s="89">
        <f t="shared" ca="1" si="0"/>
        <v>0</v>
      </c>
      <c r="J18" s="89">
        <f t="shared" ca="1" si="0"/>
        <v>1</v>
      </c>
    </row>
    <row r="19" spans="3:10" x14ac:dyDescent="0.3">
      <c r="C19" s="21"/>
      <c r="D19" s="21"/>
      <c r="E19" s="21"/>
      <c r="H19" s="89">
        <v>17</v>
      </c>
      <c r="I19" s="89">
        <f t="shared" ca="1" si="0"/>
        <v>0</v>
      </c>
      <c r="J19" s="89">
        <f t="shared" ca="1" si="0"/>
        <v>0</v>
      </c>
    </row>
    <row r="20" spans="3:10" x14ac:dyDescent="0.3">
      <c r="C20" s="21"/>
      <c r="D20" s="21"/>
      <c r="E20" s="21"/>
      <c r="H20" s="89">
        <v>18</v>
      </c>
      <c r="I20" s="89">
        <f t="shared" ca="1" si="0"/>
        <v>0</v>
      </c>
      <c r="J20" s="89">
        <f t="shared" ca="1" si="0"/>
        <v>1</v>
      </c>
    </row>
    <row r="21" spans="3:10" x14ac:dyDescent="0.3">
      <c r="C21" s="21"/>
      <c r="D21" s="21"/>
      <c r="E21" s="21"/>
      <c r="H21" s="89">
        <v>19</v>
      </c>
      <c r="I21" s="89">
        <f t="shared" ca="1" si="0"/>
        <v>0</v>
      </c>
      <c r="J21" s="89">
        <f t="shared" ca="1" si="0"/>
        <v>1</v>
      </c>
    </row>
    <row r="22" spans="3:10" x14ac:dyDescent="0.3">
      <c r="C22" s="21"/>
      <c r="D22" s="21"/>
      <c r="E22" s="21"/>
      <c r="H22" s="89">
        <v>20</v>
      </c>
      <c r="I22" s="89">
        <f t="shared" ca="1" si="0"/>
        <v>1</v>
      </c>
      <c r="J22" s="89">
        <f t="shared" ca="1" si="0"/>
        <v>1</v>
      </c>
    </row>
    <row r="23" spans="3:10" x14ac:dyDescent="0.3">
      <c r="C23" s="21"/>
      <c r="D23" s="21"/>
      <c r="E23" s="21"/>
      <c r="H23" s="89">
        <v>21</v>
      </c>
      <c r="I23" s="89">
        <f t="shared" ca="1" si="0"/>
        <v>0</v>
      </c>
      <c r="J23" s="89">
        <f t="shared" ca="1" si="0"/>
        <v>0</v>
      </c>
    </row>
    <row r="24" spans="3:10" x14ac:dyDescent="0.3">
      <c r="C24" s="21"/>
      <c r="D24" s="21"/>
      <c r="E24" s="21"/>
      <c r="H24" s="89">
        <v>22</v>
      </c>
      <c r="I24" s="89">
        <f t="shared" ca="1" si="0"/>
        <v>1</v>
      </c>
      <c r="J24" s="89">
        <f t="shared" ca="1" si="0"/>
        <v>0</v>
      </c>
    </row>
    <row r="25" spans="3:10" x14ac:dyDescent="0.3">
      <c r="H25" s="89">
        <v>23</v>
      </c>
      <c r="I25" s="89">
        <f t="shared" ca="1" si="0"/>
        <v>1</v>
      </c>
      <c r="J25" s="89">
        <f t="shared" ca="1" si="0"/>
        <v>1</v>
      </c>
    </row>
    <row r="26" spans="3:10" x14ac:dyDescent="0.3">
      <c r="H26" s="89">
        <v>24</v>
      </c>
      <c r="I26" s="89">
        <f t="shared" ca="1" si="0"/>
        <v>1</v>
      </c>
      <c r="J26" s="89">
        <f t="shared" ca="1" si="0"/>
        <v>0</v>
      </c>
    </row>
    <row r="27" spans="3:10" x14ac:dyDescent="0.3">
      <c r="H27" s="89">
        <v>25</v>
      </c>
      <c r="I27" s="89">
        <f t="shared" ca="1" si="0"/>
        <v>1</v>
      </c>
      <c r="J27" s="89">
        <f t="shared" ca="1" si="0"/>
        <v>1</v>
      </c>
    </row>
    <row r="28" spans="3:10" x14ac:dyDescent="0.3">
      <c r="H28" s="89">
        <v>26</v>
      </c>
      <c r="I28" s="89">
        <f t="shared" ca="1" si="0"/>
        <v>0</v>
      </c>
      <c r="J28" s="89">
        <f t="shared" ca="1" si="0"/>
        <v>0</v>
      </c>
    </row>
    <row r="29" spans="3:10" x14ac:dyDescent="0.3">
      <c r="H29" s="89">
        <v>27</v>
      </c>
      <c r="I29" s="89">
        <f t="shared" ca="1" si="0"/>
        <v>1</v>
      </c>
      <c r="J29" s="89">
        <f t="shared" ca="1" si="0"/>
        <v>0</v>
      </c>
    </row>
    <row r="30" spans="3:10" x14ac:dyDescent="0.3">
      <c r="H30" s="89">
        <v>28</v>
      </c>
      <c r="I30" s="89">
        <f t="shared" ca="1" si="0"/>
        <v>0</v>
      </c>
      <c r="J30" s="89">
        <f t="shared" ca="1" si="0"/>
        <v>1</v>
      </c>
    </row>
    <row r="31" spans="3:10" x14ac:dyDescent="0.3">
      <c r="H31" s="89">
        <v>29</v>
      </c>
      <c r="I31" s="89">
        <f t="shared" ca="1" si="0"/>
        <v>0</v>
      </c>
      <c r="J31" s="89">
        <f t="shared" ca="1" si="0"/>
        <v>1</v>
      </c>
    </row>
    <row r="32" spans="3:10" x14ac:dyDescent="0.3">
      <c r="H32" s="89">
        <v>30</v>
      </c>
      <c r="I32" s="89">
        <f t="shared" ca="1" si="0"/>
        <v>0</v>
      </c>
      <c r="J32" s="89">
        <f t="shared" ca="1" si="0"/>
        <v>0</v>
      </c>
    </row>
    <row r="33" spans="8:10" x14ac:dyDescent="0.3">
      <c r="H33" s="89">
        <v>31</v>
      </c>
      <c r="I33" s="89">
        <f t="shared" ca="1" si="0"/>
        <v>1</v>
      </c>
      <c r="J33" s="89">
        <f t="shared" ca="1" si="0"/>
        <v>0</v>
      </c>
    </row>
    <row r="34" spans="8:10" x14ac:dyDescent="0.3">
      <c r="H34" s="89">
        <v>32</v>
      </c>
      <c r="I34" s="89">
        <f t="shared" ca="1" si="0"/>
        <v>1</v>
      </c>
      <c r="J34" s="89">
        <f t="shared" ca="1" si="0"/>
        <v>1</v>
      </c>
    </row>
    <row r="35" spans="8:10" x14ac:dyDescent="0.3">
      <c r="H35" s="89">
        <v>33</v>
      </c>
      <c r="I35" s="89">
        <f t="shared" ca="1" si="0"/>
        <v>0</v>
      </c>
      <c r="J35" s="89">
        <f t="shared" ca="1" si="0"/>
        <v>0</v>
      </c>
    </row>
    <row r="36" spans="8:10" x14ac:dyDescent="0.3">
      <c r="H36" s="89">
        <v>34</v>
      </c>
      <c r="I36" s="89">
        <f t="shared" ca="1" si="0"/>
        <v>0</v>
      </c>
      <c r="J36" s="89">
        <f t="shared" ca="1" si="0"/>
        <v>1</v>
      </c>
    </row>
    <row r="37" spans="8:10" x14ac:dyDescent="0.3">
      <c r="H37" s="89">
        <v>35</v>
      </c>
      <c r="I37" s="89">
        <f t="shared" ca="1" si="0"/>
        <v>1</v>
      </c>
      <c r="J37" s="89">
        <f t="shared" ca="1" si="0"/>
        <v>1</v>
      </c>
    </row>
    <row r="38" spans="8:10" x14ac:dyDescent="0.3">
      <c r="H38" s="89">
        <v>36</v>
      </c>
      <c r="I38" s="89">
        <f t="shared" ca="1" si="0"/>
        <v>0</v>
      </c>
      <c r="J38" s="89">
        <f t="shared" ca="1" si="0"/>
        <v>1</v>
      </c>
    </row>
    <row r="39" spans="8:10" x14ac:dyDescent="0.3">
      <c r="H39" s="89">
        <v>37</v>
      </c>
      <c r="I39" s="89">
        <f t="shared" ca="1" si="0"/>
        <v>1</v>
      </c>
      <c r="J39" s="89">
        <f t="shared" ca="1" si="0"/>
        <v>0</v>
      </c>
    </row>
    <row r="40" spans="8:10" x14ac:dyDescent="0.3">
      <c r="H40" s="89">
        <v>38</v>
      </c>
      <c r="I40" s="89">
        <f t="shared" ca="1" si="0"/>
        <v>0</v>
      </c>
      <c r="J40" s="89">
        <f t="shared" ca="1" si="0"/>
        <v>0</v>
      </c>
    </row>
    <row r="41" spans="8:10" x14ac:dyDescent="0.3">
      <c r="H41" s="89">
        <v>39</v>
      </c>
      <c r="I41" s="89">
        <f t="shared" ca="1" si="0"/>
        <v>1</v>
      </c>
      <c r="J41" s="89">
        <f t="shared" ca="1" si="0"/>
        <v>0</v>
      </c>
    </row>
    <row r="42" spans="8:10" x14ac:dyDescent="0.3">
      <c r="H42" s="89">
        <v>40</v>
      </c>
      <c r="I42" s="89">
        <f t="shared" ca="1" si="0"/>
        <v>0</v>
      </c>
      <c r="J42" s="89">
        <f t="shared" ca="1" si="0"/>
        <v>0</v>
      </c>
    </row>
    <row r="43" spans="8:10" x14ac:dyDescent="0.3">
      <c r="H43" s="89">
        <v>41</v>
      </c>
      <c r="I43" s="89">
        <f t="shared" ca="1" si="0"/>
        <v>0</v>
      </c>
      <c r="J43" s="89">
        <f t="shared" ca="1" si="0"/>
        <v>1</v>
      </c>
    </row>
    <row r="44" spans="8:10" x14ac:dyDescent="0.3">
      <c r="H44" s="89">
        <v>42</v>
      </c>
      <c r="I44" s="89">
        <f t="shared" ca="1" si="0"/>
        <v>1</v>
      </c>
      <c r="J44" s="89">
        <f t="shared" ca="1" si="0"/>
        <v>0</v>
      </c>
    </row>
    <row r="45" spans="8:10" x14ac:dyDescent="0.3">
      <c r="H45" s="89">
        <v>43</v>
      </c>
      <c r="I45" s="89">
        <f t="shared" ca="1" si="0"/>
        <v>0</v>
      </c>
      <c r="J45" s="89">
        <f t="shared" ca="1" si="0"/>
        <v>0</v>
      </c>
    </row>
    <row r="46" spans="8:10" x14ac:dyDescent="0.3">
      <c r="H46" s="89">
        <v>44</v>
      </c>
      <c r="I46" s="89">
        <f t="shared" ca="1" si="0"/>
        <v>0</v>
      </c>
      <c r="J46" s="89">
        <f t="shared" ca="1" si="0"/>
        <v>0</v>
      </c>
    </row>
    <row r="47" spans="8:10" x14ac:dyDescent="0.3">
      <c r="H47" s="89">
        <v>45</v>
      </c>
      <c r="I47" s="89">
        <f t="shared" ca="1" si="0"/>
        <v>1</v>
      </c>
      <c r="J47" s="89">
        <f t="shared" ca="1" si="0"/>
        <v>0</v>
      </c>
    </row>
    <row r="48" spans="8:10" x14ac:dyDescent="0.3">
      <c r="H48" s="89">
        <v>46</v>
      </c>
      <c r="I48" s="89">
        <f t="shared" ca="1" si="0"/>
        <v>1</v>
      </c>
      <c r="J48" s="89">
        <f t="shared" ca="1" si="0"/>
        <v>0</v>
      </c>
    </row>
    <row r="49" spans="8:10" x14ac:dyDescent="0.3">
      <c r="H49" s="89">
        <v>47</v>
      </c>
      <c r="I49" s="89">
        <f t="shared" ca="1" si="0"/>
        <v>0</v>
      </c>
      <c r="J49" s="89">
        <f t="shared" ca="1" si="0"/>
        <v>1</v>
      </c>
    </row>
    <row r="50" spans="8:10" x14ac:dyDescent="0.3">
      <c r="H50" s="89">
        <v>48</v>
      </c>
      <c r="I50" s="89">
        <f t="shared" ca="1" si="0"/>
        <v>0</v>
      </c>
      <c r="J50" s="89">
        <f t="shared" ca="1" si="0"/>
        <v>1</v>
      </c>
    </row>
    <row r="51" spans="8:10" x14ac:dyDescent="0.3">
      <c r="H51" s="89">
        <v>49</v>
      </c>
      <c r="I51" s="89">
        <f t="shared" ca="1" si="0"/>
        <v>1</v>
      </c>
      <c r="J51" s="89">
        <f t="shared" ca="1" si="0"/>
        <v>1</v>
      </c>
    </row>
    <row r="52" spans="8:10" x14ac:dyDescent="0.3">
      <c r="H52" s="89">
        <v>50</v>
      </c>
      <c r="I52" s="89">
        <f t="shared" ca="1" si="0"/>
        <v>0</v>
      </c>
      <c r="J52" s="89">
        <f t="shared" ca="1" si="0"/>
        <v>0</v>
      </c>
    </row>
    <row r="53" spans="8:10" x14ac:dyDescent="0.3">
      <c r="H53" s="89">
        <v>51</v>
      </c>
      <c r="I53" s="89">
        <f t="shared" ca="1" si="0"/>
        <v>0</v>
      </c>
      <c r="J53" s="89">
        <f t="shared" ca="1" si="0"/>
        <v>0</v>
      </c>
    </row>
    <row r="54" spans="8:10" x14ac:dyDescent="0.3">
      <c r="H54" s="89">
        <v>52</v>
      </c>
      <c r="I54" s="89">
        <f t="shared" ca="1" si="0"/>
        <v>1</v>
      </c>
      <c r="J54" s="89">
        <f t="shared" ca="1" si="0"/>
        <v>1</v>
      </c>
    </row>
    <row r="55" spans="8:10" x14ac:dyDescent="0.3">
      <c r="H55" s="89">
        <v>53</v>
      </c>
      <c r="I55" s="89">
        <f t="shared" ca="1" si="0"/>
        <v>1</v>
      </c>
      <c r="J55" s="89">
        <f t="shared" ca="1" si="0"/>
        <v>0</v>
      </c>
    </row>
    <row r="56" spans="8:10" x14ac:dyDescent="0.3">
      <c r="H56" s="89">
        <v>54</v>
      </c>
      <c r="I56" s="89">
        <f t="shared" ca="1" si="0"/>
        <v>1</v>
      </c>
      <c r="J56" s="89">
        <f t="shared" ca="1" si="0"/>
        <v>0</v>
      </c>
    </row>
    <row r="57" spans="8:10" x14ac:dyDescent="0.3">
      <c r="H57" s="89">
        <v>55</v>
      </c>
      <c r="I57" s="89">
        <f t="shared" ca="1" si="0"/>
        <v>1</v>
      </c>
      <c r="J57" s="89">
        <f t="shared" ca="1" si="0"/>
        <v>1</v>
      </c>
    </row>
    <row r="58" spans="8:10" x14ac:dyDescent="0.3">
      <c r="H58" s="89">
        <v>56</v>
      </c>
      <c r="I58" s="89">
        <f t="shared" ca="1" si="0"/>
        <v>0</v>
      </c>
      <c r="J58" s="89">
        <f t="shared" ca="1" si="0"/>
        <v>0</v>
      </c>
    </row>
    <row r="59" spans="8:10" x14ac:dyDescent="0.3">
      <c r="H59" s="89">
        <v>57</v>
      </c>
      <c r="I59" s="89">
        <f t="shared" ca="1" si="0"/>
        <v>1</v>
      </c>
      <c r="J59" s="89">
        <f t="shared" ca="1" si="0"/>
        <v>1</v>
      </c>
    </row>
    <row r="60" spans="8:10" x14ac:dyDescent="0.3">
      <c r="H60" s="89">
        <v>58</v>
      </c>
      <c r="I60" s="89">
        <f t="shared" ca="1" si="0"/>
        <v>0</v>
      </c>
      <c r="J60" s="89">
        <f t="shared" ca="1" si="0"/>
        <v>1</v>
      </c>
    </row>
    <row r="61" spans="8:10" x14ac:dyDescent="0.3">
      <c r="H61" s="89">
        <v>59</v>
      </c>
      <c r="I61" s="89">
        <f t="shared" ca="1" si="0"/>
        <v>0</v>
      </c>
      <c r="J61" s="89">
        <f t="shared" ca="1" si="0"/>
        <v>0</v>
      </c>
    </row>
    <row r="62" spans="8:10" x14ac:dyDescent="0.3">
      <c r="H62" s="89">
        <v>60</v>
      </c>
      <c r="I62" s="89">
        <f t="shared" ca="1" si="0"/>
        <v>0</v>
      </c>
      <c r="J62" s="89">
        <f t="shared" ca="1" si="0"/>
        <v>1</v>
      </c>
    </row>
    <row r="63" spans="8:10" x14ac:dyDescent="0.3">
      <c r="H63" s="89">
        <v>61</v>
      </c>
      <c r="I63" s="89">
        <f t="shared" ca="1" si="0"/>
        <v>1</v>
      </c>
      <c r="J63" s="89">
        <f t="shared" ca="1" si="0"/>
        <v>0</v>
      </c>
    </row>
    <row r="64" spans="8:10" x14ac:dyDescent="0.3">
      <c r="H64" s="89">
        <v>62</v>
      </c>
      <c r="I64" s="89">
        <f t="shared" ca="1" si="0"/>
        <v>1</v>
      </c>
      <c r="J64" s="89">
        <f t="shared" ca="1" si="0"/>
        <v>0</v>
      </c>
    </row>
    <row r="65" spans="8:10" x14ac:dyDescent="0.3">
      <c r="H65" s="89">
        <v>63</v>
      </c>
      <c r="I65" s="89">
        <f t="shared" ca="1" si="0"/>
        <v>1</v>
      </c>
      <c r="J65" s="89">
        <f t="shared" ca="1" si="0"/>
        <v>0</v>
      </c>
    </row>
    <row r="66" spans="8:10" x14ac:dyDescent="0.3">
      <c r="H66" s="89">
        <v>64</v>
      </c>
      <c r="I66" s="89">
        <f t="shared" ca="1" si="0"/>
        <v>0</v>
      </c>
      <c r="J66" s="89">
        <f t="shared" ca="1" si="0"/>
        <v>1</v>
      </c>
    </row>
    <row r="67" spans="8:10" x14ac:dyDescent="0.3">
      <c r="H67" s="89">
        <v>65</v>
      </c>
      <c r="I67" s="89">
        <f t="shared" ca="1" si="0"/>
        <v>1</v>
      </c>
      <c r="J67" s="89">
        <f t="shared" ca="1" si="0"/>
        <v>1</v>
      </c>
    </row>
    <row r="68" spans="8:10" x14ac:dyDescent="0.3">
      <c r="H68" s="89">
        <v>66</v>
      </c>
      <c r="I68" s="89">
        <f t="shared" ref="I68:J131" ca="1" si="1">RANDBETWEEN(0,1)</f>
        <v>1</v>
      </c>
      <c r="J68" s="89">
        <f t="shared" ca="1" si="1"/>
        <v>0</v>
      </c>
    </row>
    <row r="69" spans="8:10" x14ac:dyDescent="0.3">
      <c r="H69" s="89">
        <v>67</v>
      </c>
      <c r="I69" s="89">
        <f t="shared" ca="1" si="1"/>
        <v>0</v>
      </c>
      <c r="J69" s="89">
        <f t="shared" ca="1" si="1"/>
        <v>0</v>
      </c>
    </row>
    <row r="70" spans="8:10" x14ac:dyDescent="0.3">
      <c r="H70" s="89">
        <v>68</v>
      </c>
      <c r="I70" s="89">
        <f t="shared" ca="1" si="1"/>
        <v>1</v>
      </c>
      <c r="J70" s="89">
        <f t="shared" ca="1" si="1"/>
        <v>1</v>
      </c>
    </row>
    <row r="71" spans="8:10" x14ac:dyDescent="0.3">
      <c r="H71" s="89">
        <v>69</v>
      </c>
      <c r="I71" s="89">
        <f t="shared" ca="1" si="1"/>
        <v>1</v>
      </c>
      <c r="J71" s="89">
        <f t="shared" ca="1" si="1"/>
        <v>0</v>
      </c>
    </row>
    <row r="72" spans="8:10" x14ac:dyDescent="0.3">
      <c r="H72" s="89">
        <v>70</v>
      </c>
      <c r="I72" s="89">
        <f t="shared" ca="1" si="1"/>
        <v>1</v>
      </c>
      <c r="J72" s="89">
        <f t="shared" ca="1" si="1"/>
        <v>1</v>
      </c>
    </row>
    <row r="73" spans="8:10" x14ac:dyDescent="0.3">
      <c r="H73" s="89">
        <v>71</v>
      </c>
      <c r="I73" s="89">
        <f t="shared" ca="1" si="1"/>
        <v>0</v>
      </c>
      <c r="J73" s="89">
        <f t="shared" ca="1" si="1"/>
        <v>1</v>
      </c>
    </row>
    <row r="74" spans="8:10" x14ac:dyDescent="0.3">
      <c r="H74" s="89">
        <v>72</v>
      </c>
      <c r="I74" s="89">
        <f t="shared" ca="1" si="1"/>
        <v>0</v>
      </c>
      <c r="J74" s="89">
        <f t="shared" ca="1" si="1"/>
        <v>1</v>
      </c>
    </row>
    <row r="75" spans="8:10" x14ac:dyDescent="0.3">
      <c r="H75" s="89">
        <v>73</v>
      </c>
      <c r="I75" s="89">
        <f t="shared" ca="1" si="1"/>
        <v>1</v>
      </c>
      <c r="J75" s="89">
        <f t="shared" ca="1" si="1"/>
        <v>1</v>
      </c>
    </row>
    <row r="76" spans="8:10" x14ac:dyDescent="0.3">
      <c r="H76" s="89">
        <v>74</v>
      </c>
      <c r="I76" s="89">
        <f t="shared" ca="1" si="1"/>
        <v>0</v>
      </c>
      <c r="J76" s="89">
        <f t="shared" ca="1" si="1"/>
        <v>1</v>
      </c>
    </row>
    <row r="77" spans="8:10" x14ac:dyDescent="0.3">
      <c r="H77" s="89">
        <v>75</v>
      </c>
      <c r="I77" s="89">
        <f t="shared" ca="1" si="1"/>
        <v>1</v>
      </c>
      <c r="J77" s="89">
        <f t="shared" ca="1" si="1"/>
        <v>0</v>
      </c>
    </row>
    <row r="78" spans="8:10" x14ac:dyDescent="0.3">
      <c r="H78" s="89">
        <v>76</v>
      </c>
      <c r="I78" s="89">
        <f t="shared" ca="1" si="1"/>
        <v>1</v>
      </c>
      <c r="J78" s="89">
        <f t="shared" ca="1" si="1"/>
        <v>1</v>
      </c>
    </row>
    <row r="79" spans="8:10" x14ac:dyDescent="0.3">
      <c r="H79" s="89">
        <v>77</v>
      </c>
      <c r="I79" s="89">
        <f t="shared" ca="1" si="1"/>
        <v>1</v>
      </c>
      <c r="J79" s="89">
        <f t="shared" ca="1" si="1"/>
        <v>1</v>
      </c>
    </row>
    <row r="80" spans="8:10" x14ac:dyDescent="0.3">
      <c r="H80" s="89">
        <v>78</v>
      </c>
      <c r="I80" s="89">
        <f t="shared" ca="1" si="1"/>
        <v>0</v>
      </c>
      <c r="J80" s="89">
        <f t="shared" ca="1" si="1"/>
        <v>0</v>
      </c>
    </row>
    <row r="81" spans="8:10" x14ac:dyDescent="0.3">
      <c r="H81" s="89">
        <v>79</v>
      </c>
      <c r="I81" s="89">
        <f t="shared" ca="1" si="1"/>
        <v>0</v>
      </c>
      <c r="J81" s="89">
        <f t="shared" ca="1" si="1"/>
        <v>1</v>
      </c>
    </row>
    <row r="82" spans="8:10" x14ac:dyDescent="0.3">
      <c r="H82" s="89">
        <v>80</v>
      </c>
      <c r="I82" s="89">
        <f t="shared" ca="1" si="1"/>
        <v>0</v>
      </c>
      <c r="J82" s="89">
        <f t="shared" ca="1" si="1"/>
        <v>1</v>
      </c>
    </row>
    <row r="83" spans="8:10" x14ac:dyDescent="0.3">
      <c r="H83" s="89">
        <v>81</v>
      </c>
      <c r="I83" s="89">
        <f t="shared" ca="1" si="1"/>
        <v>1</v>
      </c>
      <c r="J83" s="89">
        <f t="shared" ca="1" si="1"/>
        <v>1</v>
      </c>
    </row>
    <row r="84" spans="8:10" x14ac:dyDescent="0.3">
      <c r="H84" s="89">
        <v>82</v>
      </c>
      <c r="I84" s="89">
        <f t="shared" ca="1" si="1"/>
        <v>1</v>
      </c>
      <c r="J84" s="89">
        <f t="shared" ca="1" si="1"/>
        <v>1</v>
      </c>
    </row>
    <row r="85" spans="8:10" x14ac:dyDescent="0.3">
      <c r="H85" s="89">
        <v>83</v>
      </c>
      <c r="I85" s="89">
        <f t="shared" ca="1" si="1"/>
        <v>1</v>
      </c>
      <c r="J85" s="89">
        <f t="shared" ca="1" si="1"/>
        <v>1</v>
      </c>
    </row>
    <row r="86" spans="8:10" x14ac:dyDescent="0.3">
      <c r="H86" s="89">
        <v>84</v>
      </c>
      <c r="I86" s="89">
        <f t="shared" ca="1" si="1"/>
        <v>1</v>
      </c>
      <c r="J86" s="89">
        <f t="shared" ca="1" si="1"/>
        <v>0</v>
      </c>
    </row>
    <row r="87" spans="8:10" x14ac:dyDescent="0.3">
      <c r="H87" s="89">
        <v>85</v>
      </c>
      <c r="I87" s="89">
        <f t="shared" ca="1" si="1"/>
        <v>0</v>
      </c>
      <c r="J87" s="89">
        <f t="shared" ca="1" si="1"/>
        <v>1</v>
      </c>
    </row>
    <row r="88" spans="8:10" x14ac:dyDescent="0.3">
      <c r="H88" s="89">
        <v>86</v>
      </c>
      <c r="I88" s="89">
        <f t="shared" ca="1" si="1"/>
        <v>1</v>
      </c>
      <c r="J88" s="89">
        <f t="shared" ca="1" si="1"/>
        <v>0</v>
      </c>
    </row>
    <row r="89" spans="8:10" x14ac:dyDescent="0.3">
      <c r="H89" s="89">
        <v>87</v>
      </c>
      <c r="I89" s="89">
        <f t="shared" ca="1" si="1"/>
        <v>1</v>
      </c>
      <c r="J89" s="89">
        <f t="shared" ca="1" si="1"/>
        <v>1</v>
      </c>
    </row>
    <row r="90" spans="8:10" x14ac:dyDescent="0.3">
      <c r="H90" s="89">
        <v>88</v>
      </c>
      <c r="I90" s="89">
        <f t="shared" ca="1" si="1"/>
        <v>1</v>
      </c>
      <c r="J90" s="89">
        <f t="shared" ca="1" si="1"/>
        <v>0</v>
      </c>
    </row>
    <row r="91" spans="8:10" x14ac:dyDescent="0.3">
      <c r="H91" s="89">
        <v>89</v>
      </c>
      <c r="I91" s="89">
        <f t="shared" ca="1" si="1"/>
        <v>0</v>
      </c>
      <c r="J91" s="89">
        <f t="shared" ca="1" si="1"/>
        <v>1</v>
      </c>
    </row>
    <row r="92" spans="8:10" x14ac:dyDescent="0.3">
      <c r="H92" s="89">
        <v>90</v>
      </c>
      <c r="I92" s="89">
        <f t="shared" ca="1" si="1"/>
        <v>1</v>
      </c>
      <c r="J92" s="89">
        <f t="shared" ca="1" si="1"/>
        <v>1</v>
      </c>
    </row>
    <row r="93" spans="8:10" x14ac:dyDescent="0.3">
      <c r="H93" s="89">
        <v>91</v>
      </c>
      <c r="I93" s="89">
        <f t="shared" ca="1" si="1"/>
        <v>1</v>
      </c>
      <c r="J93" s="89">
        <f t="shared" ca="1" si="1"/>
        <v>0</v>
      </c>
    </row>
    <row r="94" spans="8:10" x14ac:dyDescent="0.3">
      <c r="H94" s="89">
        <v>92</v>
      </c>
      <c r="I94" s="89">
        <f t="shared" ca="1" si="1"/>
        <v>1</v>
      </c>
      <c r="J94" s="89">
        <f t="shared" ca="1" si="1"/>
        <v>1</v>
      </c>
    </row>
    <row r="95" spans="8:10" x14ac:dyDescent="0.3">
      <c r="H95" s="89">
        <v>93</v>
      </c>
      <c r="I95" s="89">
        <f t="shared" ca="1" si="1"/>
        <v>1</v>
      </c>
      <c r="J95" s="89">
        <f t="shared" ca="1" si="1"/>
        <v>1</v>
      </c>
    </row>
    <row r="96" spans="8:10" x14ac:dyDescent="0.3">
      <c r="H96" s="89">
        <v>94</v>
      </c>
      <c r="I96" s="89">
        <f t="shared" ca="1" si="1"/>
        <v>1</v>
      </c>
      <c r="J96" s="89">
        <f t="shared" ca="1" si="1"/>
        <v>1</v>
      </c>
    </row>
    <row r="97" spans="8:10" x14ac:dyDescent="0.3">
      <c r="H97" s="89">
        <v>95</v>
      </c>
      <c r="I97" s="89">
        <f t="shared" ca="1" si="1"/>
        <v>1</v>
      </c>
      <c r="J97" s="89">
        <f t="shared" ca="1" si="1"/>
        <v>0</v>
      </c>
    </row>
    <row r="98" spans="8:10" x14ac:dyDescent="0.3">
      <c r="H98" s="89">
        <v>96</v>
      </c>
      <c r="I98" s="89">
        <f t="shared" ca="1" si="1"/>
        <v>1</v>
      </c>
      <c r="J98" s="89">
        <f t="shared" ca="1" si="1"/>
        <v>0</v>
      </c>
    </row>
    <row r="99" spans="8:10" x14ac:dyDescent="0.3">
      <c r="H99" s="89">
        <v>97</v>
      </c>
      <c r="I99" s="89">
        <f t="shared" ca="1" si="1"/>
        <v>1</v>
      </c>
      <c r="J99" s="89">
        <f t="shared" ca="1" si="1"/>
        <v>0</v>
      </c>
    </row>
    <row r="100" spans="8:10" x14ac:dyDescent="0.3">
      <c r="H100" s="89">
        <v>98</v>
      </c>
      <c r="I100" s="89">
        <f t="shared" ca="1" si="1"/>
        <v>1</v>
      </c>
      <c r="J100" s="89">
        <f t="shared" ca="1" si="1"/>
        <v>0</v>
      </c>
    </row>
    <row r="101" spans="8:10" x14ac:dyDescent="0.3">
      <c r="H101" s="89">
        <v>99</v>
      </c>
      <c r="I101" s="89">
        <f t="shared" ca="1" si="1"/>
        <v>1</v>
      </c>
      <c r="J101" s="89">
        <f t="shared" ca="1" si="1"/>
        <v>0</v>
      </c>
    </row>
    <row r="102" spans="8:10" x14ac:dyDescent="0.3">
      <c r="H102" s="89">
        <v>100</v>
      </c>
      <c r="I102" s="89">
        <f t="shared" ca="1" si="1"/>
        <v>0</v>
      </c>
      <c r="J102" s="89">
        <f t="shared" ca="1" si="1"/>
        <v>0</v>
      </c>
    </row>
    <row r="103" spans="8:10" x14ac:dyDescent="0.3">
      <c r="H103" s="89">
        <v>101</v>
      </c>
      <c r="I103" s="89">
        <f t="shared" ca="1" si="1"/>
        <v>0</v>
      </c>
      <c r="J103" s="89">
        <f t="shared" ca="1" si="1"/>
        <v>1</v>
      </c>
    </row>
    <row r="104" spans="8:10" x14ac:dyDescent="0.3">
      <c r="H104" s="89">
        <v>102</v>
      </c>
      <c r="I104" s="89">
        <f t="shared" ca="1" si="1"/>
        <v>0</v>
      </c>
      <c r="J104" s="89">
        <f t="shared" ca="1" si="1"/>
        <v>1</v>
      </c>
    </row>
    <row r="105" spans="8:10" x14ac:dyDescent="0.3">
      <c r="H105" s="89">
        <v>103</v>
      </c>
      <c r="I105" s="89">
        <f t="shared" ca="1" si="1"/>
        <v>0</v>
      </c>
      <c r="J105" s="89">
        <f t="shared" ca="1" si="1"/>
        <v>1</v>
      </c>
    </row>
    <row r="106" spans="8:10" x14ac:dyDescent="0.3">
      <c r="H106" s="89">
        <v>104</v>
      </c>
      <c r="I106" s="89">
        <f t="shared" ca="1" si="1"/>
        <v>1</v>
      </c>
      <c r="J106" s="89">
        <f t="shared" ca="1" si="1"/>
        <v>1</v>
      </c>
    </row>
    <row r="107" spans="8:10" x14ac:dyDescent="0.3">
      <c r="H107" s="89">
        <v>105</v>
      </c>
      <c r="I107" s="89">
        <f t="shared" ca="1" si="1"/>
        <v>1</v>
      </c>
      <c r="J107" s="89">
        <f t="shared" ca="1" si="1"/>
        <v>1</v>
      </c>
    </row>
    <row r="108" spans="8:10" x14ac:dyDescent="0.3">
      <c r="H108" s="89">
        <v>106</v>
      </c>
      <c r="I108" s="89">
        <f t="shared" ca="1" si="1"/>
        <v>1</v>
      </c>
      <c r="J108" s="89">
        <f t="shared" ca="1" si="1"/>
        <v>1</v>
      </c>
    </row>
    <row r="109" spans="8:10" x14ac:dyDescent="0.3">
      <c r="H109" s="89">
        <v>107</v>
      </c>
      <c r="I109" s="89">
        <f t="shared" ca="1" si="1"/>
        <v>1</v>
      </c>
      <c r="J109" s="89">
        <f t="shared" ca="1" si="1"/>
        <v>0</v>
      </c>
    </row>
    <row r="110" spans="8:10" x14ac:dyDescent="0.3">
      <c r="H110" s="89">
        <v>108</v>
      </c>
      <c r="I110" s="89">
        <f t="shared" ca="1" si="1"/>
        <v>1</v>
      </c>
      <c r="J110" s="89">
        <f t="shared" ca="1" si="1"/>
        <v>0</v>
      </c>
    </row>
    <row r="111" spans="8:10" x14ac:dyDescent="0.3">
      <c r="H111" s="89">
        <v>109</v>
      </c>
      <c r="I111" s="89">
        <f t="shared" ca="1" si="1"/>
        <v>0</v>
      </c>
      <c r="J111" s="89">
        <f t="shared" ca="1" si="1"/>
        <v>0</v>
      </c>
    </row>
    <row r="112" spans="8:10" x14ac:dyDescent="0.3">
      <c r="H112" s="89">
        <v>110</v>
      </c>
      <c r="I112" s="89">
        <f t="shared" ca="1" si="1"/>
        <v>0</v>
      </c>
      <c r="J112" s="89">
        <f t="shared" ca="1" si="1"/>
        <v>0</v>
      </c>
    </row>
    <row r="113" spans="8:10" x14ac:dyDescent="0.3">
      <c r="H113" s="89">
        <v>111</v>
      </c>
      <c r="I113" s="89">
        <f t="shared" ca="1" si="1"/>
        <v>1</v>
      </c>
      <c r="J113" s="89">
        <f t="shared" ca="1" si="1"/>
        <v>1</v>
      </c>
    </row>
    <row r="114" spans="8:10" x14ac:dyDescent="0.3">
      <c r="H114" s="89">
        <v>112</v>
      </c>
      <c r="I114" s="89">
        <f t="shared" ca="1" si="1"/>
        <v>1</v>
      </c>
      <c r="J114" s="89">
        <f t="shared" ca="1" si="1"/>
        <v>1</v>
      </c>
    </row>
    <row r="115" spans="8:10" x14ac:dyDescent="0.3">
      <c r="H115" s="89">
        <v>113</v>
      </c>
      <c r="I115" s="89">
        <f t="shared" ca="1" si="1"/>
        <v>1</v>
      </c>
      <c r="J115" s="89">
        <f t="shared" ca="1" si="1"/>
        <v>1</v>
      </c>
    </row>
    <row r="116" spans="8:10" x14ac:dyDescent="0.3">
      <c r="H116" s="89">
        <v>114</v>
      </c>
      <c r="I116" s="89">
        <f t="shared" ca="1" si="1"/>
        <v>1</v>
      </c>
      <c r="J116" s="89">
        <f t="shared" ca="1" si="1"/>
        <v>1</v>
      </c>
    </row>
    <row r="117" spans="8:10" x14ac:dyDescent="0.3">
      <c r="H117" s="89">
        <v>115</v>
      </c>
      <c r="I117" s="89">
        <f t="shared" ca="1" si="1"/>
        <v>0</v>
      </c>
      <c r="J117" s="89">
        <f t="shared" ca="1" si="1"/>
        <v>1</v>
      </c>
    </row>
    <row r="118" spans="8:10" x14ac:dyDescent="0.3">
      <c r="H118" s="89">
        <v>116</v>
      </c>
      <c r="I118" s="89">
        <f t="shared" ca="1" si="1"/>
        <v>1</v>
      </c>
      <c r="J118" s="89">
        <f t="shared" ca="1" si="1"/>
        <v>1</v>
      </c>
    </row>
    <row r="119" spans="8:10" x14ac:dyDescent="0.3">
      <c r="H119" s="89">
        <v>117</v>
      </c>
      <c r="I119" s="89">
        <f t="shared" ca="1" si="1"/>
        <v>1</v>
      </c>
      <c r="J119" s="89">
        <f t="shared" ca="1" si="1"/>
        <v>0</v>
      </c>
    </row>
    <row r="120" spans="8:10" x14ac:dyDescent="0.3">
      <c r="H120" s="89">
        <v>118</v>
      </c>
      <c r="I120" s="89">
        <f t="shared" ca="1" si="1"/>
        <v>0</v>
      </c>
      <c r="J120" s="89">
        <f t="shared" ca="1" si="1"/>
        <v>0</v>
      </c>
    </row>
    <row r="121" spans="8:10" x14ac:dyDescent="0.3">
      <c r="H121" s="89">
        <v>119</v>
      </c>
      <c r="I121" s="89">
        <f t="shared" ca="1" si="1"/>
        <v>0</v>
      </c>
      <c r="J121" s="89">
        <f t="shared" ca="1" si="1"/>
        <v>0</v>
      </c>
    </row>
    <row r="122" spans="8:10" x14ac:dyDescent="0.3">
      <c r="H122" s="89">
        <v>120</v>
      </c>
      <c r="I122" s="89">
        <f t="shared" ca="1" si="1"/>
        <v>0</v>
      </c>
      <c r="J122" s="89">
        <f t="shared" ca="1" si="1"/>
        <v>0</v>
      </c>
    </row>
    <row r="123" spans="8:10" x14ac:dyDescent="0.3">
      <c r="H123" s="89">
        <v>121</v>
      </c>
      <c r="I123" s="89">
        <f t="shared" ca="1" si="1"/>
        <v>1</v>
      </c>
      <c r="J123" s="89">
        <f t="shared" ca="1" si="1"/>
        <v>0</v>
      </c>
    </row>
    <row r="124" spans="8:10" x14ac:dyDescent="0.3">
      <c r="H124" s="89">
        <v>122</v>
      </c>
      <c r="I124" s="89">
        <f t="shared" ca="1" si="1"/>
        <v>1</v>
      </c>
      <c r="J124" s="89">
        <f t="shared" ca="1" si="1"/>
        <v>1</v>
      </c>
    </row>
    <row r="125" spans="8:10" x14ac:dyDescent="0.3">
      <c r="H125" s="89">
        <v>123</v>
      </c>
      <c r="I125" s="89">
        <f t="shared" ca="1" si="1"/>
        <v>1</v>
      </c>
      <c r="J125" s="89">
        <f t="shared" ca="1" si="1"/>
        <v>1</v>
      </c>
    </row>
    <row r="126" spans="8:10" x14ac:dyDescent="0.3">
      <c r="H126" s="89">
        <v>124</v>
      </c>
      <c r="I126" s="89">
        <f t="shared" ca="1" si="1"/>
        <v>1</v>
      </c>
      <c r="J126" s="89">
        <f t="shared" ca="1" si="1"/>
        <v>1</v>
      </c>
    </row>
    <row r="127" spans="8:10" x14ac:dyDescent="0.3">
      <c r="H127" s="89">
        <v>125</v>
      </c>
      <c r="I127" s="89">
        <f t="shared" ca="1" si="1"/>
        <v>1</v>
      </c>
      <c r="J127" s="89">
        <f t="shared" ca="1" si="1"/>
        <v>0</v>
      </c>
    </row>
    <row r="128" spans="8:10" x14ac:dyDescent="0.3">
      <c r="H128" s="89">
        <v>126</v>
      </c>
      <c r="I128" s="89">
        <f t="shared" ca="1" si="1"/>
        <v>1</v>
      </c>
      <c r="J128" s="89">
        <f t="shared" ca="1" si="1"/>
        <v>0</v>
      </c>
    </row>
    <row r="129" spans="8:10" x14ac:dyDescent="0.3">
      <c r="H129" s="89">
        <v>127</v>
      </c>
      <c r="I129" s="89">
        <f t="shared" ca="1" si="1"/>
        <v>1</v>
      </c>
      <c r="J129" s="89">
        <f t="shared" ca="1" si="1"/>
        <v>0</v>
      </c>
    </row>
    <row r="130" spans="8:10" x14ac:dyDescent="0.3">
      <c r="H130" s="89">
        <v>128</v>
      </c>
      <c r="I130" s="89">
        <f t="shared" ca="1" si="1"/>
        <v>1</v>
      </c>
      <c r="J130" s="89">
        <f t="shared" ca="1" si="1"/>
        <v>1</v>
      </c>
    </row>
    <row r="131" spans="8:10" x14ac:dyDescent="0.3">
      <c r="H131" s="89">
        <v>129</v>
      </c>
      <c r="I131" s="89">
        <f t="shared" ca="1" si="1"/>
        <v>0</v>
      </c>
      <c r="J131" s="89">
        <f t="shared" ca="1" si="1"/>
        <v>1</v>
      </c>
    </row>
    <row r="132" spans="8:10" x14ac:dyDescent="0.3">
      <c r="H132" s="89">
        <v>130</v>
      </c>
      <c r="I132" s="89">
        <f t="shared" ref="I132:J195" ca="1" si="2">RANDBETWEEN(0,1)</f>
        <v>1</v>
      </c>
      <c r="J132" s="89">
        <f t="shared" ca="1" si="2"/>
        <v>1</v>
      </c>
    </row>
    <row r="133" spans="8:10" x14ac:dyDescent="0.3">
      <c r="H133" s="89">
        <v>131</v>
      </c>
      <c r="I133" s="89">
        <f t="shared" ca="1" si="2"/>
        <v>0</v>
      </c>
      <c r="J133" s="89">
        <f t="shared" ca="1" si="2"/>
        <v>1</v>
      </c>
    </row>
    <row r="134" spans="8:10" x14ac:dyDescent="0.3">
      <c r="H134" s="89">
        <v>132</v>
      </c>
      <c r="I134" s="89">
        <f t="shared" ca="1" si="2"/>
        <v>1</v>
      </c>
      <c r="J134" s="89">
        <f t="shared" ca="1" si="2"/>
        <v>0</v>
      </c>
    </row>
    <row r="135" spans="8:10" x14ac:dyDescent="0.3">
      <c r="H135" s="89">
        <v>133</v>
      </c>
      <c r="I135" s="89">
        <f t="shared" ca="1" si="2"/>
        <v>1</v>
      </c>
      <c r="J135" s="89">
        <f t="shared" ca="1" si="2"/>
        <v>1</v>
      </c>
    </row>
    <row r="136" spans="8:10" x14ac:dyDescent="0.3">
      <c r="H136" s="89">
        <v>134</v>
      </c>
      <c r="I136" s="89">
        <f t="shared" ca="1" si="2"/>
        <v>1</v>
      </c>
      <c r="J136" s="89">
        <f t="shared" ca="1" si="2"/>
        <v>0</v>
      </c>
    </row>
    <row r="137" spans="8:10" x14ac:dyDescent="0.3">
      <c r="H137" s="89">
        <v>135</v>
      </c>
      <c r="I137" s="89">
        <f t="shared" ca="1" si="2"/>
        <v>1</v>
      </c>
      <c r="J137" s="89">
        <f t="shared" ca="1" si="2"/>
        <v>1</v>
      </c>
    </row>
    <row r="138" spans="8:10" x14ac:dyDescent="0.3">
      <c r="H138" s="89">
        <v>136</v>
      </c>
      <c r="I138" s="89">
        <f t="shared" ca="1" si="2"/>
        <v>0</v>
      </c>
      <c r="J138" s="89">
        <f t="shared" ca="1" si="2"/>
        <v>1</v>
      </c>
    </row>
    <row r="139" spans="8:10" x14ac:dyDescent="0.3">
      <c r="H139" s="89">
        <v>137</v>
      </c>
      <c r="I139" s="89">
        <f t="shared" ca="1" si="2"/>
        <v>1</v>
      </c>
      <c r="J139" s="89">
        <f t="shared" ca="1" si="2"/>
        <v>1</v>
      </c>
    </row>
    <row r="140" spans="8:10" x14ac:dyDescent="0.3">
      <c r="H140" s="89">
        <v>138</v>
      </c>
      <c r="I140" s="89">
        <f t="shared" ca="1" si="2"/>
        <v>1</v>
      </c>
      <c r="J140" s="89">
        <f t="shared" ca="1" si="2"/>
        <v>1</v>
      </c>
    </row>
    <row r="141" spans="8:10" x14ac:dyDescent="0.3">
      <c r="H141" s="89">
        <v>139</v>
      </c>
      <c r="I141" s="89">
        <f t="shared" ca="1" si="2"/>
        <v>1</v>
      </c>
      <c r="J141" s="89">
        <f t="shared" ca="1" si="2"/>
        <v>0</v>
      </c>
    </row>
    <row r="142" spans="8:10" x14ac:dyDescent="0.3">
      <c r="H142" s="89">
        <v>140</v>
      </c>
      <c r="I142" s="89">
        <f t="shared" ca="1" si="2"/>
        <v>1</v>
      </c>
      <c r="J142" s="89">
        <f t="shared" ca="1" si="2"/>
        <v>1</v>
      </c>
    </row>
    <row r="143" spans="8:10" x14ac:dyDescent="0.3">
      <c r="H143" s="89">
        <v>141</v>
      </c>
      <c r="I143" s="89">
        <f t="shared" ca="1" si="2"/>
        <v>1</v>
      </c>
      <c r="J143" s="89">
        <f t="shared" ca="1" si="2"/>
        <v>0</v>
      </c>
    </row>
    <row r="144" spans="8:10" x14ac:dyDescent="0.3">
      <c r="H144" s="89">
        <v>142</v>
      </c>
      <c r="I144" s="89">
        <f t="shared" ca="1" si="2"/>
        <v>1</v>
      </c>
      <c r="J144" s="89">
        <f t="shared" ca="1" si="2"/>
        <v>1</v>
      </c>
    </row>
    <row r="145" spans="8:10" x14ac:dyDescent="0.3">
      <c r="H145" s="89">
        <v>143</v>
      </c>
      <c r="I145" s="89">
        <f t="shared" ca="1" si="2"/>
        <v>0</v>
      </c>
      <c r="J145" s="89">
        <f t="shared" ca="1" si="2"/>
        <v>1</v>
      </c>
    </row>
    <row r="146" spans="8:10" x14ac:dyDescent="0.3">
      <c r="H146" s="89">
        <v>144</v>
      </c>
      <c r="I146" s="89">
        <f t="shared" ca="1" si="2"/>
        <v>0</v>
      </c>
      <c r="J146" s="89">
        <f t="shared" ca="1" si="2"/>
        <v>0</v>
      </c>
    </row>
    <row r="147" spans="8:10" x14ac:dyDescent="0.3">
      <c r="H147" s="89">
        <v>145</v>
      </c>
      <c r="I147" s="89">
        <f t="shared" ca="1" si="2"/>
        <v>1</v>
      </c>
      <c r="J147" s="89">
        <f t="shared" ca="1" si="2"/>
        <v>1</v>
      </c>
    </row>
    <row r="148" spans="8:10" x14ac:dyDescent="0.3">
      <c r="H148" s="89">
        <v>146</v>
      </c>
      <c r="I148" s="89">
        <f t="shared" ca="1" si="2"/>
        <v>1</v>
      </c>
      <c r="J148" s="89">
        <f t="shared" ca="1" si="2"/>
        <v>1</v>
      </c>
    </row>
    <row r="149" spans="8:10" x14ac:dyDescent="0.3">
      <c r="H149" s="89">
        <v>147</v>
      </c>
      <c r="I149" s="89">
        <f t="shared" ca="1" si="2"/>
        <v>1</v>
      </c>
      <c r="J149" s="89">
        <f t="shared" ca="1" si="2"/>
        <v>1</v>
      </c>
    </row>
    <row r="150" spans="8:10" x14ac:dyDescent="0.3">
      <c r="H150" s="89">
        <v>148</v>
      </c>
      <c r="I150" s="89">
        <f t="shared" ca="1" si="2"/>
        <v>1</v>
      </c>
      <c r="J150" s="89">
        <f t="shared" ca="1" si="2"/>
        <v>0</v>
      </c>
    </row>
    <row r="151" spans="8:10" x14ac:dyDescent="0.3">
      <c r="H151" s="89">
        <v>149</v>
      </c>
      <c r="I151" s="89">
        <f t="shared" ca="1" si="2"/>
        <v>0</v>
      </c>
      <c r="J151" s="89">
        <f t="shared" ca="1" si="2"/>
        <v>1</v>
      </c>
    </row>
    <row r="152" spans="8:10" x14ac:dyDescent="0.3">
      <c r="H152" s="89">
        <v>150</v>
      </c>
      <c r="I152" s="89">
        <f t="shared" ca="1" si="2"/>
        <v>0</v>
      </c>
      <c r="J152" s="89">
        <f t="shared" ca="1" si="2"/>
        <v>0</v>
      </c>
    </row>
    <row r="153" spans="8:10" x14ac:dyDescent="0.3">
      <c r="H153" s="89">
        <v>151</v>
      </c>
      <c r="I153" s="89">
        <f t="shared" ca="1" si="2"/>
        <v>1</v>
      </c>
      <c r="J153" s="89">
        <f t="shared" ca="1" si="2"/>
        <v>0</v>
      </c>
    </row>
    <row r="154" spans="8:10" x14ac:dyDescent="0.3">
      <c r="H154" s="89">
        <v>152</v>
      </c>
      <c r="I154" s="89">
        <f t="shared" ca="1" si="2"/>
        <v>0</v>
      </c>
      <c r="J154" s="89">
        <f t="shared" ca="1" si="2"/>
        <v>0</v>
      </c>
    </row>
    <row r="155" spans="8:10" x14ac:dyDescent="0.3">
      <c r="H155" s="89">
        <v>153</v>
      </c>
      <c r="I155" s="89">
        <f t="shared" ca="1" si="2"/>
        <v>0</v>
      </c>
      <c r="J155" s="89">
        <f t="shared" ca="1" si="2"/>
        <v>1</v>
      </c>
    </row>
    <row r="156" spans="8:10" x14ac:dyDescent="0.3">
      <c r="H156" s="89">
        <v>154</v>
      </c>
      <c r="I156" s="89">
        <f t="shared" ca="1" si="2"/>
        <v>0</v>
      </c>
      <c r="J156" s="89">
        <f t="shared" ca="1" si="2"/>
        <v>1</v>
      </c>
    </row>
    <row r="157" spans="8:10" x14ac:dyDescent="0.3">
      <c r="H157" s="89">
        <v>155</v>
      </c>
      <c r="I157" s="89">
        <f t="shared" ca="1" si="2"/>
        <v>1</v>
      </c>
      <c r="J157" s="89">
        <f t="shared" ca="1" si="2"/>
        <v>1</v>
      </c>
    </row>
    <row r="158" spans="8:10" x14ac:dyDescent="0.3">
      <c r="H158" s="89">
        <v>156</v>
      </c>
      <c r="I158" s="89">
        <f t="shared" ca="1" si="2"/>
        <v>1</v>
      </c>
      <c r="J158" s="89">
        <f t="shared" ca="1" si="2"/>
        <v>1</v>
      </c>
    </row>
    <row r="159" spans="8:10" x14ac:dyDescent="0.3">
      <c r="H159" s="89">
        <v>157</v>
      </c>
      <c r="I159" s="89">
        <f t="shared" ca="1" si="2"/>
        <v>1</v>
      </c>
      <c r="J159" s="89">
        <f t="shared" ca="1" si="2"/>
        <v>1</v>
      </c>
    </row>
    <row r="160" spans="8:10" x14ac:dyDescent="0.3">
      <c r="H160" s="89">
        <v>158</v>
      </c>
      <c r="I160" s="89">
        <f t="shared" ca="1" si="2"/>
        <v>0</v>
      </c>
      <c r="J160" s="89">
        <f t="shared" ca="1" si="2"/>
        <v>1</v>
      </c>
    </row>
    <row r="161" spans="8:10" x14ac:dyDescent="0.3">
      <c r="H161" s="89">
        <v>159</v>
      </c>
      <c r="I161" s="89">
        <f t="shared" ca="1" si="2"/>
        <v>0</v>
      </c>
      <c r="J161" s="89">
        <f t="shared" ca="1" si="2"/>
        <v>0</v>
      </c>
    </row>
    <row r="162" spans="8:10" x14ac:dyDescent="0.3">
      <c r="H162" s="89">
        <v>160</v>
      </c>
      <c r="I162" s="89">
        <f t="shared" ca="1" si="2"/>
        <v>0</v>
      </c>
      <c r="J162" s="89">
        <f t="shared" ca="1" si="2"/>
        <v>0</v>
      </c>
    </row>
    <row r="163" spans="8:10" x14ac:dyDescent="0.3">
      <c r="H163" s="89">
        <v>161</v>
      </c>
      <c r="I163" s="89">
        <f t="shared" ca="1" si="2"/>
        <v>1</v>
      </c>
      <c r="J163" s="89">
        <f t="shared" ca="1" si="2"/>
        <v>1</v>
      </c>
    </row>
    <row r="164" spans="8:10" x14ac:dyDescent="0.3">
      <c r="H164" s="89">
        <v>162</v>
      </c>
      <c r="I164" s="89">
        <f t="shared" ca="1" si="2"/>
        <v>0</v>
      </c>
      <c r="J164" s="89">
        <f t="shared" ca="1" si="2"/>
        <v>1</v>
      </c>
    </row>
    <row r="165" spans="8:10" x14ac:dyDescent="0.3">
      <c r="H165" s="89">
        <v>163</v>
      </c>
      <c r="I165" s="89">
        <f t="shared" ca="1" si="2"/>
        <v>1</v>
      </c>
      <c r="J165" s="89">
        <f t="shared" ca="1" si="2"/>
        <v>0</v>
      </c>
    </row>
    <row r="166" spans="8:10" x14ac:dyDescent="0.3">
      <c r="H166" s="89">
        <v>164</v>
      </c>
      <c r="I166" s="89">
        <f t="shared" ca="1" si="2"/>
        <v>0</v>
      </c>
      <c r="J166" s="89">
        <f t="shared" ca="1" si="2"/>
        <v>1</v>
      </c>
    </row>
    <row r="167" spans="8:10" x14ac:dyDescent="0.3">
      <c r="H167" s="89">
        <v>165</v>
      </c>
      <c r="I167" s="89">
        <f t="shared" ca="1" si="2"/>
        <v>0</v>
      </c>
      <c r="J167" s="89">
        <f t="shared" ca="1" si="2"/>
        <v>1</v>
      </c>
    </row>
    <row r="168" spans="8:10" x14ac:dyDescent="0.3">
      <c r="H168" s="89">
        <v>166</v>
      </c>
      <c r="I168" s="89">
        <f t="shared" ca="1" si="2"/>
        <v>1</v>
      </c>
      <c r="J168" s="89">
        <f t="shared" ca="1" si="2"/>
        <v>0</v>
      </c>
    </row>
    <row r="169" spans="8:10" x14ac:dyDescent="0.3">
      <c r="H169" s="89">
        <v>167</v>
      </c>
      <c r="I169" s="89">
        <f t="shared" ca="1" si="2"/>
        <v>1</v>
      </c>
      <c r="J169" s="89">
        <f t="shared" ca="1" si="2"/>
        <v>1</v>
      </c>
    </row>
    <row r="170" spans="8:10" x14ac:dyDescent="0.3">
      <c r="H170" s="89">
        <v>168</v>
      </c>
      <c r="I170" s="89">
        <f t="shared" ca="1" si="2"/>
        <v>1</v>
      </c>
      <c r="J170" s="89">
        <f t="shared" ca="1" si="2"/>
        <v>1</v>
      </c>
    </row>
    <row r="171" spans="8:10" x14ac:dyDescent="0.3">
      <c r="H171" s="89">
        <v>169</v>
      </c>
      <c r="I171" s="89">
        <f t="shared" ca="1" si="2"/>
        <v>1</v>
      </c>
      <c r="J171" s="89">
        <f t="shared" ca="1" si="2"/>
        <v>0</v>
      </c>
    </row>
    <row r="172" spans="8:10" x14ac:dyDescent="0.3">
      <c r="H172" s="89">
        <v>170</v>
      </c>
      <c r="I172" s="89">
        <f t="shared" ca="1" si="2"/>
        <v>0</v>
      </c>
      <c r="J172" s="89">
        <f t="shared" ca="1" si="2"/>
        <v>0</v>
      </c>
    </row>
    <row r="173" spans="8:10" x14ac:dyDescent="0.3">
      <c r="H173" s="89">
        <v>171</v>
      </c>
      <c r="I173" s="89">
        <f t="shared" ca="1" si="2"/>
        <v>1</v>
      </c>
      <c r="J173" s="89">
        <f t="shared" ca="1" si="2"/>
        <v>0</v>
      </c>
    </row>
    <row r="174" spans="8:10" x14ac:dyDescent="0.3">
      <c r="H174" s="89">
        <v>172</v>
      </c>
      <c r="I174" s="89">
        <f t="shared" ca="1" si="2"/>
        <v>0</v>
      </c>
      <c r="J174" s="89">
        <f t="shared" ca="1" si="2"/>
        <v>0</v>
      </c>
    </row>
    <row r="175" spans="8:10" x14ac:dyDescent="0.3">
      <c r="H175" s="89">
        <v>173</v>
      </c>
      <c r="I175" s="89">
        <f t="shared" ca="1" si="2"/>
        <v>0</v>
      </c>
      <c r="J175" s="89">
        <f t="shared" ca="1" si="2"/>
        <v>0</v>
      </c>
    </row>
    <row r="176" spans="8:10" x14ac:dyDescent="0.3">
      <c r="H176" s="89">
        <v>174</v>
      </c>
      <c r="I176" s="89">
        <f t="shared" ca="1" si="2"/>
        <v>1</v>
      </c>
      <c r="J176" s="89">
        <f t="shared" ca="1" si="2"/>
        <v>0</v>
      </c>
    </row>
    <row r="177" spans="8:10" x14ac:dyDescent="0.3">
      <c r="H177" s="89">
        <v>175</v>
      </c>
      <c r="I177" s="89">
        <f t="shared" ca="1" si="2"/>
        <v>1</v>
      </c>
      <c r="J177" s="89">
        <f t="shared" ca="1" si="2"/>
        <v>0</v>
      </c>
    </row>
    <row r="178" spans="8:10" x14ac:dyDescent="0.3">
      <c r="H178" s="89">
        <v>176</v>
      </c>
      <c r="I178" s="89">
        <f t="shared" ca="1" si="2"/>
        <v>0</v>
      </c>
      <c r="J178" s="89">
        <f t="shared" ca="1" si="2"/>
        <v>1</v>
      </c>
    </row>
    <row r="179" spans="8:10" x14ac:dyDescent="0.3">
      <c r="H179" s="89">
        <v>177</v>
      </c>
      <c r="I179" s="89">
        <f t="shared" ca="1" si="2"/>
        <v>0</v>
      </c>
      <c r="J179" s="89">
        <f t="shared" ca="1" si="2"/>
        <v>1</v>
      </c>
    </row>
    <row r="180" spans="8:10" x14ac:dyDescent="0.3">
      <c r="H180" s="89">
        <v>178</v>
      </c>
      <c r="I180" s="89">
        <f t="shared" ca="1" si="2"/>
        <v>1</v>
      </c>
      <c r="J180" s="89">
        <f t="shared" ca="1" si="2"/>
        <v>1</v>
      </c>
    </row>
    <row r="181" spans="8:10" x14ac:dyDescent="0.3">
      <c r="H181" s="89">
        <v>179</v>
      </c>
      <c r="I181" s="89">
        <f t="shared" ca="1" si="2"/>
        <v>0</v>
      </c>
      <c r="J181" s="89">
        <f t="shared" ca="1" si="2"/>
        <v>0</v>
      </c>
    </row>
    <row r="182" spans="8:10" x14ac:dyDescent="0.3">
      <c r="H182" s="89">
        <v>180</v>
      </c>
      <c r="I182" s="89">
        <f t="shared" ca="1" si="2"/>
        <v>1</v>
      </c>
      <c r="J182" s="89">
        <f t="shared" ca="1" si="2"/>
        <v>1</v>
      </c>
    </row>
    <row r="183" spans="8:10" x14ac:dyDescent="0.3">
      <c r="H183" s="89">
        <v>181</v>
      </c>
      <c r="I183" s="89">
        <f t="shared" ca="1" si="2"/>
        <v>0</v>
      </c>
      <c r="J183" s="89">
        <f t="shared" ca="1" si="2"/>
        <v>0</v>
      </c>
    </row>
    <row r="184" spans="8:10" x14ac:dyDescent="0.3">
      <c r="H184" s="89">
        <v>182</v>
      </c>
      <c r="I184" s="89">
        <f t="shared" ca="1" si="2"/>
        <v>1</v>
      </c>
      <c r="J184" s="89">
        <f t="shared" ca="1" si="2"/>
        <v>0</v>
      </c>
    </row>
    <row r="185" spans="8:10" x14ac:dyDescent="0.3">
      <c r="H185" s="89">
        <v>183</v>
      </c>
      <c r="I185" s="89">
        <f t="shared" ca="1" si="2"/>
        <v>0</v>
      </c>
      <c r="J185" s="89">
        <f t="shared" ca="1" si="2"/>
        <v>1</v>
      </c>
    </row>
    <row r="186" spans="8:10" x14ac:dyDescent="0.3">
      <c r="H186" s="89">
        <v>184</v>
      </c>
      <c r="I186" s="89">
        <f t="shared" ca="1" si="2"/>
        <v>0</v>
      </c>
      <c r="J186" s="89">
        <f t="shared" ca="1" si="2"/>
        <v>0</v>
      </c>
    </row>
    <row r="187" spans="8:10" x14ac:dyDescent="0.3">
      <c r="H187" s="89">
        <v>185</v>
      </c>
      <c r="I187" s="89">
        <f t="shared" ca="1" si="2"/>
        <v>0</v>
      </c>
      <c r="J187" s="89">
        <f t="shared" ca="1" si="2"/>
        <v>0</v>
      </c>
    </row>
    <row r="188" spans="8:10" x14ac:dyDescent="0.3">
      <c r="H188" s="89">
        <v>186</v>
      </c>
      <c r="I188" s="89">
        <f t="shared" ca="1" si="2"/>
        <v>0</v>
      </c>
      <c r="J188" s="89">
        <f t="shared" ca="1" si="2"/>
        <v>0</v>
      </c>
    </row>
    <row r="189" spans="8:10" x14ac:dyDescent="0.3">
      <c r="H189" s="89">
        <v>187</v>
      </c>
      <c r="I189" s="89">
        <f t="shared" ca="1" si="2"/>
        <v>1</v>
      </c>
      <c r="J189" s="89">
        <f t="shared" ca="1" si="2"/>
        <v>0</v>
      </c>
    </row>
    <row r="190" spans="8:10" x14ac:dyDescent="0.3">
      <c r="H190" s="89">
        <v>188</v>
      </c>
      <c r="I190" s="89">
        <f t="shared" ca="1" si="2"/>
        <v>0</v>
      </c>
      <c r="J190" s="89">
        <f t="shared" ca="1" si="2"/>
        <v>0</v>
      </c>
    </row>
    <row r="191" spans="8:10" x14ac:dyDescent="0.3">
      <c r="H191" s="89">
        <v>189</v>
      </c>
      <c r="I191" s="89">
        <f t="shared" ca="1" si="2"/>
        <v>0</v>
      </c>
      <c r="J191" s="89">
        <f t="shared" ca="1" si="2"/>
        <v>0</v>
      </c>
    </row>
    <row r="192" spans="8:10" x14ac:dyDescent="0.3">
      <c r="H192" s="89">
        <v>190</v>
      </c>
      <c r="I192" s="89">
        <f t="shared" ca="1" si="2"/>
        <v>1</v>
      </c>
      <c r="J192" s="89">
        <f t="shared" ca="1" si="2"/>
        <v>0</v>
      </c>
    </row>
    <row r="193" spans="8:10" x14ac:dyDescent="0.3">
      <c r="H193" s="89">
        <v>191</v>
      </c>
      <c r="I193" s="89">
        <f t="shared" ca="1" si="2"/>
        <v>0</v>
      </c>
      <c r="J193" s="89">
        <f t="shared" ca="1" si="2"/>
        <v>1</v>
      </c>
    </row>
    <row r="194" spans="8:10" x14ac:dyDescent="0.3">
      <c r="H194" s="89">
        <v>192</v>
      </c>
      <c r="I194" s="89">
        <f t="shared" ca="1" si="2"/>
        <v>0</v>
      </c>
      <c r="J194" s="89">
        <f t="shared" ca="1" si="2"/>
        <v>0</v>
      </c>
    </row>
    <row r="195" spans="8:10" x14ac:dyDescent="0.3">
      <c r="H195" s="89">
        <v>193</v>
      </c>
      <c r="I195" s="89">
        <f t="shared" ca="1" si="2"/>
        <v>1</v>
      </c>
      <c r="J195" s="89">
        <f t="shared" ca="1" si="2"/>
        <v>0</v>
      </c>
    </row>
    <row r="196" spans="8:10" x14ac:dyDescent="0.3">
      <c r="H196" s="89">
        <v>194</v>
      </c>
      <c r="I196" s="89">
        <f t="shared" ref="I196:J259" ca="1" si="3">RANDBETWEEN(0,1)</f>
        <v>1</v>
      </c>
      <c r="J196" s="89">
        <f t="shared" ca="1" si="3"/>
        <v>1</v>
      </c>
    </row>
    <row r="197" spans="8:10" x14ac:dyDescent="0.3">
      <c r="H197" s="89">
        <v>195</v>
      </c>
      <c r="I197" s="89">
        <f t="shared" ca="1" si="3"/>
        <v>1</v>
      </c>
      <c r="J197" s="89">
        <f t="shared" ca="1" si="3"/>
        <v>1</v>
      </c>
    </row>
    <row r="198" spans="8:10" x14ac:dyDescent="0.3">
      <c r="H198" s="89">
        <v>196</v>
      </c>
      <c r="I198" s="89">
        <f t="shared" ca="1" si="3"/>
        <v>0</v>
      </c>
      <c r="J198" s="89">
        <f t="shared" ca="1" si="3"/>
        <v>1</v>
      </c>
    </row>
    <row r="199" spans="8:10" x14ac:dyDescent="0.3">
      <c r="H199" s="89">
        <v>197</v>
      </c>
      <c r="I199" s="89">
        <f t="shared" ca="1" si="3"/>
        <v>1</v>
      </c>
      <c r="J199" s="89">
        <f t="shared" ca="1" si="3"/>
        <v>1</v>
      </c>
    </row>
    <row r="200" spans="8:10" x14ac:dyDescent="0.3">
      <c r="H200" s="89">
        <v>198</v>
      </c>
      <c r="I200" s="89">
        <f t="shared" ca="1" si="3"/>
        <v>0</v>
      </c>
      <c r="J200" s="89">
        <f t="shared" ca="1" si="3"/>
        <v>0</v>
      </c>
    </row>
    <row r="201" spans="8:10" x14ac:dyDescent="0.3">
      <c r="H201" s="89">
        <v>199</v>
      </c>
      <c r="I201" s="89">
        <f t="shared" ca="1" si="3"/>
        <v>0</v>
      </c>
      <c r="J201" s="89">
        <f t="shared" ca="1" si="3"/>
        <v>0</v>
      </c>
    </row>
    <row r="202" spans="8:10" x14ac:dyDescent="0.3">
      <c r="H202" s="89">
        <v>200</v>
      </c>
      <c r="I202" s="89">
        <f t="shared" ca="1" si="3"/>
        <v>0</v>
      </c>
      <c r="J202" s="89">
        <f t="shared" ca="1" si="3"/>
        <v>1</v>
      </c>
    </row>
    <row r="203" spans="8:10" x14ac:dyDescent="0.3">
      <c r="H203" s="89">
        <v>201</v>
      </c>
      <c r="I203" s="89">
        <f t="shared" ca="1" si="3"/>
        <v>1</v>
      </c>
      <c r="J203" s="89">
        <f t="shared" ca="1" si="3"/>
        <v>0</v>
      </c>
    </row>
    <row r="204" spans="8:10" x14ac:dyDescent="0.3">
      <c r="H204" s="89">
        <v>202</v>
      </c>
      <c r="I204" s="89">
        <f t="shared" ca="1" si="3"/>
        <v>1</v>
      </c>
      <c r="J204" s="89">
        <f t="shared" ca="1" si="3"/>
        <v>1</v>
      </c>
    </row>
    <row r="205" spans="8:10" x14ac:dyDescent="0.3">
      <c r="H205" s="89">
        <v>203</v>
      </c>
      <c r="I205" s="89">
        <f t="shared" ca="1" si="3"/>
        <v>0</v>
      </c>
      <c r="J205" s="89">
        <f t="shared" ca="1" si="3"/>
        <v>1</v>
      </c>
    </row>
    <row r="206" spans="8:10" x14ac:dyDescent="0.3">
      <c r="H206" s="89">
        <v>204</v>
      </c>
      <c r="I206" s="89">
        <f t="shared" ca="1" si="3"/>
        <v>0</v>
      </c>
      <c r="J206" s="89">
        <f t="shared" ca="1" si="3"/>
        <v>0</v>
      </c>
    </row>
    <row r="207" spans="8:10" x14ac:dyDescent="0.3">
      <c r="H207" s="89">
        <v>205</v>
      </c>
      <c r="I207" s="89">
        <f t="shared" ca="1" si="3"/>
        <v>1</v>
      </c>
      <c r="J207" s="89">
        <f t="shared" ca="1" si="3"/>
        <v>0</v>
      </c>
    </row>
    <row r="208" spans="8:10" x14ac:dyDescent="0.3">
      <c r="H208" s="89">
        <v>206</v>
      </c>
      <c r="I208" s="89">
        <f t="shared" ca="1" si="3"/>
        <v>1</v>
      </c>
      <c r="J208" s="89">
        <f t="shared" ca="1" si="3"/>
        <v>1</v>
      </c>
    </row>
    <row r="209" spans="8:10" x14ac:dyDescent="0.3">
      <c r="H209" s="89">
        <v>207</v>
      </c>
      <c r="I209" s="89">
        <f t="shared" ca="1" si="3"/>
        <v>0</v>
      </c>
      <c r="J209" s="89">
        <f t="shared" ca="1" si="3"/>
        <v>0</v>
      </c>
    </row>
    <row r="210" spans="8:10" x14ac:dyDescent="0.3">
      <c r="H210" s="89">
        <v>208</v>
      </c>
      <c r="I210" s="89">
        <f t="shared" ca="1" si="3"/>
        <v>0</v>
      </c>
      <c r="J210" s="89">
        <f t="shared" ca="1" si="3"/>
        <v>0</v>
      </c>
    </row>
    <row r="211" spans="8:10" x14ac:dyDescent="0.3">
      <c r="H211" s="89">
        <v>209</v>
      </c>
      <c r="I211" s="89">
        <f t="shared" ca="1" si="3"/>
        <v>1</v>
      </c>
      <c r="J211" s="89">
        <f t="shared" ca="1" si="3"/>
        <v>1</v>
      </c>
    </row>
    <row r="212" spans="8:10" x14ac:dyDescent="0.3">
      <c r="H212" s="89">
        <v>210</v>
      </c>
      <c r="I212" s="89">
        <f t="shared" ca="1" si="3"/>
        <v>1</v>
      </c>
      <c r="J212" s="89">
        <f t="shared" ca="1" si="3"/>
        <v>0</v>
      </c>
    </row>
    <row r="213" spans="8:10" x14ac:dyDescent="0.3">
      <c r="H213" s="89">
        <v>211</v>
      </c>
      <c r="I213" s="89">
        <f t="shared" ca="1" si="3"/>
        <v>0</v>
      </c>
      <c r="J213" s="89">
        <f t="shared" ca="1" si="3"/>
        <v>0</v>
      </c>
    </row>
    <row r="214" spans="8:10" x14ac:dyDescent="0.3">
      <c r="H214" s="89">
        <v>212</v>
      </c>
      <c r="I214" s="89">
        <f t="shared" ca="1" si="3"/>
        <v>1</v>
      </c>
      <c r="J214" s="89">
        <f t="shared" ca="1" si="3"/>
        <v>0</v>
      </c>
    </row>
    <row r="215" spans="8:10" x14ac:dyDescent="0.3">
      <c r="H215" s="89">
        <v>213</v>
      </c>
      <c r="I215" s="89">
        <f t="shared" ca="1" si="3"/>
        <v>1</v>
      </c>
      <c r="J215" s="89">
        <f t="shared" ca="1" si="3"/>
        <v>1</v>
      </c>
    </row>
    <row r="216" spans="8:10" x14ac:dyDescent="0.3">
      <c r="H216" s="89">
        <v>214</v>
      </c>
      <c r="I216" s="89">
        <f t="shared" ca="1" si="3"/>
        <v>1</v>
      </c>
      <c r="J216" s="89">
        <f t="shared" ca="1" si="3"/>
        <v>0</v>
      </c>
    </row>
    <row r="217" spans="8:10" x14ac:dyDescent="0.3">
      <c r="H217" s="89">
        <v>215</v>
      </c>
      <c r="I217" s="89">
        <f t="shared" ca="1" si="3"/>
        <v>0</v>
      </c>
      <c r="J217" s="89">
        <f t="shared" ca="1" si="3"/>
        <v>1</v>
      </c>
    </row>
    <row r="218" spans="8:10" x14ac:dyDescent="0.3">
      <c r="H218" s="89">
        <v>216</v>
      </c>
      <c r="I218" s="89">
        <f t="shared" ca="1" si="3"/>
        <v>1</v>
      </c>
      <c r="J218" s="89">
        <f t="shared" ca="1" si="3"/>
        <v>1</v>
      </c>
    </row>
    <row r="219" spans="8:10" x14ac:dyDescent="0.3">
      <c r="H219" s="89">
        <v>217</v>
      </c>
      <c r="I219" s="89">
        <f t="shared" ca="1" si="3"/>
        <v>1</v>
      </c>
      <c r="J219" s="89">
        <f t="shared" ca="1" si="3"/>
        <v>0</v>
      </c>
    </row>
    <row r="220" spans="8:10" x14ac:dyDescent="0.3">
      <c r="H220" s="89">
        <v>218</v>
      </c>
      <c r="I220" s="89">
        <f t="shared" ca="1" si="3"/>
        <v>1</v>
      </c>
      <c r="J220" s="89">
        <f t="shared" ca="1" si="3"/>
        <v>0</v>
      </c>
    </row>
    <row r="221" spans="8:10" x14ac:dyDescent="0.3">
      <c r="H221" s="89">
        <v>219</v>
      </c>
      <c r="I221" s="89">
        <f t="shared" ca="1" si="3"/>
        <v>1</v>
      </c>
      <c r="J221" s="89">
        <f t="shared" ca="1" si="3"/>
        <v>1</v>
      </c>
    </row>
    <row r="222" spans="8:10" x14ac:dyDescent="0.3">
      <c r="H222" s="89">
        <v>220</v>
      </c>
      <c r="I222" s="89">
        <f t="shared" ca="1" si="3"/>
        <v>1</v>
      </c>
      <c r="J222" s="89">
        <f t="shared" ca="1" si="3"/>
        <v>0</v>
      </c>
    </row>
    <row r="223" spans="8:10" x14ac:dyDescent="0.3">
      <c r="H223" s="89">
        <v>221</v>
      </c>
      <c r="I223" s="89">
        <f t="shared" ca="1" si="3"/>
        <v>0</v>
      </c>
      <c r="J223" s="89">
        <f t="shared" ca="1" si="3"/>
        <v>0</v>
      </c>
    </row>
    <row r="224" spans="8:10" x14ac:dyDescent="0.3">
      <c r="H224" s="89">
        <v>222</v>
      </c>
      <c r="I224" s="89">
        <f t="shared" ca="1" si="3"/>
        <v>0</v>
      </c>
      <c r="J224" s="89">
        <f t="shared" ca="1" si="3"/>
        <v>0</v>
      </c>
    </row>
    <row r="225" spans="8:10" x14ac:dyDescent="0.3">
      <c r="H225" s="89">
        <v>223</v>
      </c>
      <c r="I225" s="89">
        <f t="shared" ca="1" si="3"/>
        <v>0</v>
      </c>
      <c r="J225" s="89">
        <f t="shared" ca="1" si="3"/>
        <v>0</v>
      </c>
    </row>
    <row r="226" spans="8:10" x14ac:dyDescent="0.3">
      <c r="H226" s="89">
        <v>224</v>
      </c>
      <c r="I226" s="89">
        <f t="shared" ca="1" si="3"/>
        <v>1</v>
      </c>
      <c r="J226" s="89">
        <f t="shared" ca="1" si="3"/>
        <v>0</v>
      </c>
    </row>
    <row r="227" spans="8:10" x14ac:dyDescent="0.3">
      <c r="H227" s="89">
        <v>225</v>
      </c>
      <c r="I227" s="89">
        <f t="shared" ca="1" si="3"/>
        <v>1</v>
      </c>
      <c r="J227" s="89">
        <f t="shared" ca="1" si="3"/>
        <v>0</v>
      </c>
    </row>
    <row r="228" spans="8:10" x14ac:dyDescent="0.3">
      <c r="H228" s="89">
        <v>226</v>
      </c>
      <c r="I228" s="89">
        <f t="shared" ca="1" si="3"/>
        <v>0</v>
      </c>
      <c r="J228" s="89">
        <f t="shared" ca="1" si="3"/>
        <v>1</v>
      </c>
    </row>
    <row r="229" spans="8:10" x14ac:dyDescent="0.3">
      <c r="H229" s="89">
        <v>227</v>
      </c>
      <c r="I229" s="89">
        <f t="shared" ca="1" si="3"/>
        <v>0</v>
      </c>
      <c r="J229" s="89">
        <f t="shared" ca="1" si="3"/>
        <v>1</v>
      </c>
    </row>
    <row r="230" spans="8:10" x14ac:dyDescent="0.3">
      <c r="H230" s="89">
        <v>228</v>
      </c>
      <c r="I230" s="89">
        <f t="shared" ca="1" si="3"/>
        <v>1</v>
      </c>
      <c r="J230" s="89">
        <f t="shared" ca="1" si="3"/>
        <v>1</v>
      </c>
    </row>
    <row r="231" spans="8:10" x14ac:dyDescent="0.3">
      <c r="H231" s="89">
        <v>229</v>
      </c>
      <c r="I231" s="89">
        <f t="shared" ca="1" si="3"/>
        <v>0</v>
      </c>
      <c r="J231" s="89">
        <f t="shared" ca="1" si="3"/>
        <v>1</v>
      </c>
    </row>
    <row r="232" spans="8:10" x14ac:dyDescent="0.3">
      <c r="H232" s="89">
        <v>230</v>
      </c>
      <c r="I232" s="89">
        <f t="shared" ca="1" si="3"/>
        <v>0</v>
      </c>
      <c r="J232" s="89">
        <f t="shared" ca="1" si="3"/>
        <v>1</v>
      </c>
    </row>
    <row r="233" spans="8:10" x14ac:dyDescent="0.3">
      <c r="H233" s="89">
        <v>231</v>
      </c>
      <c r="I233" s="89">
        <f t="shared" ca="1" si="3"/>
        <v>1</v>
      </c>
      <c r="J233" s="89">
        <f t="shared" ca="1" si="3"/>
        <v>0</v>
      </c>
    </row>
    <row r="234" spans="8:10" x14ac:dyDescent="0.3">
      <c r="H234" s="89">
        <v>232</v>
      </c>
      <c r="I234" s="89">
        <f t="shared" ca="1" si="3"/>
        <v>1</v>
      </c>
      <c r="J234" s="89">
        <f t="shared" ca="1" si="3"/>
        <v>1</v>
      </c>
    </row>
    <row r="235" spans="8:10" x14ac:dyDescent="0.3">
      <c r="H235" s="89">
        <v>233</v>
      </c>
      <c r="I235" s="89">
        <f t="shared" ca="1" si="3"/>
        <v>0</v>
      </c>
      <c r="J235" s="89">
        <f t="shared" ca="1" si="3"/>
        <v>0</v>
      </c>
    </row>
    <row r="236" spans="8:10" x14ac:dyDescent="0.3">
      <c r="H236" s="89">
        <v>234</v>
      </c>
      <c r="I236" s="89">
        <f t="shared" ca="1" si="3"/>
        <v>1</v>
      </c>
      <c r="J236" s="89">
        <f t="shared" ca="1" si="3"/>
        <v>1</v>
      </c>
    </row>
    <row r="237" spans="8:10" x14ac:dyDescent="0.3">
      <c r="H237" s="89">
        <v>235</v>
      </c>
      <c r="I237" s="89">
        <f t="shared" ca="1" si="3"/>
        <v>0</v>
      </c>
      <c r="J237" s="89">
        <f t="shared" ca="1" si="3"/>
        <v>0</v>
      </c>
    </row>
    <row r="238" spans="8:10" x14ac:dyDescent="0.3">
      <c r="H238" s="89">
        <v>236</v>
      </c>
      <c r="I238" s="89">
        <f t="shared" ca="1" si="3"/>
        <v>1</v>
      </c>
      <c r="J238" s="89">
        <f t="shared" ca="1" si="3"/>
        <v>0</v>
      </c>
    </row>
    <row r="239" spans="8:10" x14ac:dyDescent="0.3">
      <c r="H239" s="89">
        <v>237</v>
      </c>
      <c r="I239" s="89">
        <f t="shared" ca="1" si="3"/>
        <v>0</v>
      </c>
      <c r="J239" s="89">
        <f t="shared" ca="1" si="3"/>
        <v>0</v>
      </c>
    </row>
    <row r="240" spans="8:10" x14ac:dyDescent="0.3">
      <c r="H240" s="89">
        <v>238</v>
      </c>
      <c r="I240" s="89">
        <f t="shared" ca="1" si="3"/>
        <v>1</v>
      </c>
      <c r="J240" s="89">
        <f t="shared" ca="1" si="3"/>
        <v>1</v>
      </c>
    </row>
    <row r="241" spans="8:10" x14ac:dyDescent="0.3">
      <c r="H241" s="89">
        <v>239</v>
      </c>
      <c r="I241" s="89">
        <f t="shared" ca="1" si="3"/>
        <v>1</v>
      </c>
      <c r="J241" s="89">
        <f t="shared" ca="1" si="3"/>
        <v>1</v>
      </c>
    </row>
    <row r="242" spans="8:10" x14ac:dyDescent="0.3">
      <c r="H242" s="89">
        <v>240</v>
      </c>
      <c r="I242" s="89">
        <f t="shared" ca="1" si="3"/>
        <v>1</v>
      </c>
      <c r="J242" s="89">
        <f t="shared" ca="1" si="3"/>
        <v>1</v>
      </c>
    </row>
    <row r="243" spans="8:10" x14ac:dyDescent="0.3">
      <c r="H243" s="89">
        <v>241</v>
      </c>
      <c r="I243" s="89">
        <f t="shared" ca="1" si="3"/>
        <v>1</v>
      </c>
      <c r="J243" s="89">
        <f t="shared" ca="1" si="3"/>
        <v>1</v>
      </c>
    </row>
    <row r="244" spans="8:10" x14ac:dyDescent="0.3">
      <c r="H244" s="89">
        <v>242</v>
      </c>
      <c r="I244" s="89">
        <f t="shared" ca="1" si="3"/>
        <v>0</v>
      </c>
      <c r="J244" s="89">
        <f t="shared" ca="1" si="3"/>
        <v>1</v>
      </c>
    </row>
    <row r="245" spans="8:10" x14ac:dyDescent="0.3">
      <c r="H245" s="89">
        <v>243</v>
      </c>
      <c r="I245" s="89">
        <f t="shared" ca="1" si="3"/>
        <v>0</v>
      </c>
      <c r="J245" s="89">
        <f t="shared" ca="1" si="3"/>
        <v>0</v>
      </c>
    </row>
    <row r="246" spans="8:10" x14ac:dyDescent="0.3">
      <c r="H246" s="89">
        <v>244</v>
      </c>
      <c r="I246" s="89">
        <f t="shared" ca="1" si="3"/>
        <v>0</v>
      </c>
      <c r="J246" s="89">
        <f t="shared" ca="1" si="3"/>
        <v>1</v>
      </c>
    </row>
    <row r="247" spans="8:10" x14ac:dyDescent="0.3">
      <c r="H247" s="89">
        <v>245</v>
      </c>
      <c r="I247" s="89">
        <f t="shared" ca="1" si="3"/>
        <v>0</v>
      </c>
      <c r="J247" s="89">
        <f t="shared" ca="1" si="3"/>
        <v>1</v>
      </c>
    </row>
    <row r="248" spans="8:10" x14ac:dyDescent="0.3">
      <c r="H248" s="89">
        <v>246</v>
      </c>
      <c r="I248" s="89">
        <f t="shared" ca="1" si="3"/>
        <v>0</v>
      </c>
      <c r="J248" s="89">
        <f t="shared" ca="1" si="3"/>
        <v>1</v>
      </c>
    </row>
    <row r="249" spans="8:10" x14ac:dyDescent="0.3">
      <c r="H249" s="89">
        <v>247</v>
      </c>
      <c r="I249" s="89">
        <f t="shared" ca="1" si="3"/>
        <v>0</v>
      </c>
      <c r="J249" s="89">
        <f t="shared" ca="1" si="3"/>
        <v>1</v>
      </c>
    </row>
    <row r="250" spans="8:10" x14ac:dyDescent="0.3">
      <c r="H250" s="89">
        <v>248</v>
      </c>
      <c r="I250" s="89">
        <f t="shared" ca="1" si="3"/>
        <v>1</v>
      </c>
      <c r="J250" s="89">
        <f t="shared" ca="1" si="3"/>
        <v>1</v>
      </c>
    </row>
    <row r="251" spans="8:10" x14ac:dyDescent="0.3">
      <c r="H251" s="89">
        <v>249</v>
      </c>
      <c r="I251" s="89">
        <f t="shared" ca="1" si="3"/>
        <v>1</v>
      </c>
      <c r="J251" s="89">
        <f t="shared" ca="1" si="3"/>
        <v>0</v>
      </c>
    </row>
    <row r="252" spans="8:10" x14ac:dyDescent="0.3">
      <c r="H252" s="89">
        <v>250</v>
      </c>
      <c r="I252" s="89">
        <f t="shared" ca="1" si="3"/>
        <v>1</v>
      </c>
      <c r="J252" s="89">
        <f t="shared" ca="1" si="3"/>
        <v>0</v>
      </c>
    </row>
    <row r="253" spans="8:10" x14ac:dyDescent="0.3">
      <c r="H253" s="89">
        <v>251</v>
      </c>
      <c r="I253" s="89">
        <f t="shared" ca="1" si="3"/>
        <v>1</v>
      </c>
      <c r="J253" s="89">
        <f t="shared" ca="1" si="3"/>
        <v>0</v>
      </c>
    </row>
    <row r="254" spans="8:10" x14ac:dyDescent="0.3">
      <c r="H254" s="89">
        <v>252</v>
      </c>
      <c r="I254" s="89">
        <f t="shared" ca="1" si="3"/>
        <v>0</v>
      </c>
      <c r="J254" s="89">
        <f t="shared" ca="1" si="3"/>
        <v>1</v>
      </c>
    </row>
    <row r="255" spans="8:10" x14ac:dyDescent="0.3">
      <c r="H255" s="89">
        <v>253</v>
      </c>
      <c r="I255" s="89">
        <f t="shared" ca="1" si="3"/>
        <v>1</v>
      </c>
      <c r="J255" s="89">
        <f t="shared" ca="1" si="3"/>
        <v>0</v>
      </c>
    </row>
    <row r="256" spans="8:10" x14ac:dyDescent="0.3">
      <c r="H256" s="89">
        <v>254</v>
      </c>
      <c r="I256" s="89">
        <f t="shared" ca="1" si="3"/>
        <v>1</v>
      </c>
      <c r="J256" s="89">
        <f t="shared" ca="1" si="3"/>
        <v>0</v>
      </c>
    </row>
    <row r="257" spans="8:10" x14ac:dyDescent="0.3">
      <c r="H257" s="89">
        <v>255</v>
      </c>
      <c r="I257" s="89">
        <f t="shared" ca="1" si="3"/>
        <v>1</v>
      </c>
      <c r="J257" s="89">
        <f t="shared" ca="1" si="3"/>
        <v>0</v>
      </c>
    </row>
    <row r="258" spans="8:10" x14ac:dyDescent="0.3">
      <c r="H258" s="89">
        <v>256</v>
      </c>
      <c r="I258" s="89">
        <f t="shared" ca="1" si="3"/>
        <v>0</v>
      </c>
      <c r="J258" s="89">
        <f t="shared" ca="1" si="3"/>
        <v>1</v>
      </c>
    </row>
    <row r="259" spans="8:10" x14ac:dyDescent="0.3">
      <c r="H259" s="89">
        <v>257</v>
      </c>
      <c r="I259" s="89">
        <f t="shared" ca="1" si="3"/>
        <v>0</v>
      </c>
      <c r="J259" s="89">
        <f t="shared" ca="1" si="3"/>
        <v>1</v>
      </c>
    </row>
    <row r="260" spans="8:10" x14ac:dyDescent="0.3">
      <c r="H260" s="89">
        <v>258</v>
      </c>
      <c r="I260" s="89">
        <f t="shared" ref="I260:J323" ca="1" si="4">RANDBETWEEN(0,1)</f>
        <v>0</v>
      </c>
      <c r="J260" s="89">
        <f t="shared" ca="1" si="4"/>
        <v>1</v>
      </c>
    </row>
    <row r="261" spans="8:10" x14ac:dyDescent="0.3">
      <c r="H261" s="89">
        <v>259</v>
      </c>
      <c r="I261" s="89">
        <f t="shared" ca="1" si="4"/>
        <v>1</v>
      </c>
      <c r="J261" s="89">
        <f t="shared" ca="1" si="4"/>
        <v>0</v>
      </c>
    </row>
    <row r="262" spans="8:10" x14ac:dyDescent="0.3">
      <c r="H262" s="89">
        <v>260</v>
      </c>
      <c r="I262" s="89">
        <f t="shared" ca="1" si="4"/>
        <v>1</v>
      </c>
      <c r="J262" s="89">
        <f t="shared" ca="1" si="4"/>
        <v>1</v>
      </c>
    </row>
    <row r="263" spans="8:10" x14ac:dyDescent="0.3">
      <c r="H263" s="89">
        <v>261</v>
      </c>
      <c r="I263" s="89">
        <f t="shared" ca="1" si="4"/>
        <v>1</v>
      </c>
      <c r="J263" s="89">
        <f t="shared" ca="1" si="4"/>
        <v>1</v>
      </c>
    </row>
    <row r="264" spans="8:10" x14ac:dyDescent="0.3">
      <c r="H264" s="89">
        <v>262</v>
      </c>
      <c r="I264" s="89">
        <f t="shared" ca="1" si="4"/>
        <v>1</v>
      </c>
      <c r="J264" s="89">
        <f t="shared" ca="1" si="4"/>
        <v>1</v>
      </c>
    </row>
    <row r="265" spans="8:10" x14ac:dyDescent="0.3">
      <c r="H265" s="89">
        <v>263</v>
      </c>
      <c r="I265" s="89">
        <f t="shared" ca="1" si="4"/>
        <v>1</v>
      </c>
      <c r="J265" s="89">
        <f t="shared" ca="1" si="4"/>
        <v>1</v>
      </c>
    </row>
    <row r="266" spans="8:10" x14ac:dyDescent="0.3">
      <c r="H266" s="89">
        <v>264</v>
      </c>
      <c r="I266" s="89">
        <f t="shared" ca="1" si="4"/>
        <v>0</v>
      </c>
      <c r="J266" s="89">
        <f t="shared" ca="1" si="4"/>
        <v>1</v>
      </c>
    </row>
    <row r="267" spans="8:10" x14ac:dyDescent="0.3">
      <c r="H267" s="89">
        <v>265</v>
      </c>
      <c r="I267" s="89">
        <f t="shared" ca="1" si="4"/>
        <v>0</v>
      </c>
      <c r="J267" s="89">
        <f t="shared" ca="1" si="4"/>
        <v>1</v>
      </c>
    </row>
    <row r="268" spans="8:10" x14ac:dyDescent="0.3">
      <c r="H268" s="89">
        <v>266</v>
      </c>
      <c r="I268" s="89">
        <f t="shared" ca="1" si="4"/>
        <v>0</v>
      </c>
      <c r="J268" s="89">
        <f t="shared" ca="1" si="4"/>
        <v>1</v>
      </c>
    </row>
    <row r="269" spans="8:10" x14ac:dyDescent="0.3">
      <c r="H269" s="89">
        <v>267</v>
      </c>
      <c r="I269" s="89">
        <f t="shared" ca="1" si="4"/>
        <v>1</v>
      </c>
      <c r="J269" s="89">
        <f t="shared" ca="1" si="4"/>
        <v>1</v>
      </c>
    </row>
    <row r="270" spans="8:10" x14ac:dyDescent="0.3">
      <c r="H270" s="89">
        <v>268</v>
      </c>
      <c r="I270" s="89">
        <f t="shared" ca="1" si="4"/>
        <v>1</v>
      </c>
      <c r="J270" s="89">
        <f t="shared" ca="1" si="4"/>
        <v>0</v>
      </c>
    </row>
    <row r="271" spans="8:10" x14ac:dyDescent="0.3">
      <c r="H271" s="89">
        <v>269</v>
      </c>
      <c r="I271" s="89">
        <f t="shared" ca="1" si="4"/>
        <v>1</v>
      </c>
      <c r="J271" s="89">
        <f t="shared" ca="1" si="4"/>
        <v>0</v>
      </c>
    </row>
    <row r="272" spans="8:10" x14ac:dyDescent="0.3">
      <c r="H272" s="89">
        <v>270</v>
      </c>
      <c r="I272" s="89">
        <f t="shared" ca="1" si="4"/>
        <v>0</v>
      </c>
      <c r="J272" s="89">
        <f t="shared" ca="1" si="4"/>
        <v>1</v>
      </c>
    </row>
    <row r="273" spans="8:10" x14ac:dyDescent="0.3">
      <c r="H273" s="89">
        <v>271</v>
      </c>
      <c r="I273" s="89">
        <f t="shared" ca="1" si="4"/>
        <v>1</v>
      </c>
      <c r="J273" s="89">
        <f t="shared" ca="1" si="4"/>
        <v>0</v>
      </c>
    </row>
    <row r="274" spans="8:10" x14ac:dyDescent="0.3">
      <c r="H274" s="89">
        <v>272</v>
      </c>
      <c r="I274" s="89">
        <f t="shared" ca="1" si="4"/>
        <v>1</v>
      </c>
      <c r="J274" s="89">
        <f t="shared" ca="1" si="4"/>
        <v>1</v>
      </c>
    </row>
    <row r="275" spans="8:10" x14ac:dyDescent="0.3">
      <c r="H275" s="89">
        <v>273</v>
      </c>
      <c r="I275" s="89">
        <f t="shared" ca="1" si="4"/>
        <v>0</v>
      </c>
      <c r="J275" s="89">
        <f t="shared" ca="1" si="4"/>
        <v>1</v>
      </c>
    </row>
    <row r="276" spans="8:10" x14ac:dyDescent="0.3">
      <c r="H276" s="89">
        <v>274</v>
      </c>
      <c r="I276" s="89">
        <f t="shared" ca="1" si="4"/>
        <v>1</v>
      </c>
      <c r="J276" s="89">
        <f t="shared" ca="1" si="4"/>
        <v>1</v>
      </c>
    </row>
    <row r="277" spans="8:10" x14ac:dyDescent="0.3">
      <c r="H277" s="89">
        <v>275</v>
      </c>
      <c r="I277" s="89">
        <f t="shared" ca="1" si="4"/>
        <v>1</v>
      </c>
      <c r="J277" s="89">
        <f t="shared" ca="1" si="4"/>
        <v>1</v>
      </c>
    </row>
    <row r="278" spans="8:10" x14ac:dyDescent="0.3">
      <c r="H278" s="89">
        <v>276</v>
      </c>
      <c r="I278" s="89">
        <f t="shared" ca="1" si="4"/>
        <v>0</v>
      </c>
      <c r="J278" s="89">
        <f t="shared" ca="1" si="4"/>
        <v>1</v>
      </c>
    </row>
    <row r="279" spans="8:10" x14ac:dyDescent="0.3">
      <c r="H279" s="89">
        <v>277</v>
      </c>
      <c r="I279" s="89">
        <f t="shared" ca="1" si="4"/>
        <v>1</v>
      </c>
      <c r="J279" s="89">
        <f t="shared" ca="1" si="4"/>
        <v>1</v>
      </c>
    </row>
    <row r="280" spans="8:10" x14ac:dyDescent="0.3">
      <c r="H280" s="89">
        <v>278</v>
      </c>
      <c r="I280" s="89">
        <f t="shared" ca="1" si="4"/>
        <v>1</v>
      </c>
      <c r="J280" s="89">
        <f t="shared" ca="1" si="4"/>
        <v>1</v>
      </c>
    </row>
    <row r="281" spans="8:10" x14ac:dyDescent="0.3">
      <c r="H281" s="89">
        <v>279</v>
      </c>
      <c r="I281" s="89">
        <f t="shared" ca="1" si="4"/>
        <v>1</v>
      </c>
      <c r="J281" s="89">
        <f t="shared" ca="1" si="4"/>
        <v>0</v>
      </c>
    </row>
    <row r="282" spans="8:10" x14ac:dyDescent="0.3">
      <c r="H282" s="89">
        <v>280</v>
      </c>
      <c r="I282" s="89">
        <f t="shared" ca="1" si="4"/>
        <v>0</v>
      </c>
      <c r="J282" s="89">
        <f t="shared" ca="1" si="4"/>
        <v>0</v>
      </c>
    </row>
    <row r="283" spans="8:10" x14ac:dyDescent="0.3">
      <c r="H283" s="89">
        <v>281</v>
      </c>
      <c r="I283" s="89">
        <f t="shared" ca="1" si="4"/>
        <v>0</v>
      </c>
      <c r="J283" s="89">
        <f t="shared" ca="1" si="4"/>
        <v>0</v>
      </c>
    </row>
    <row r="284" spans="8:10" x14ac:dyDescent="0.3">
      <c r="H284" s="89">
        <v>282</v>
      </c>
      <c r="I284" s="89">
        <f t="shared" ca="1" si="4"/>
        <v>1</v>
      </c>
      <c r="J284" s="89">
        <f t="shared" ca="1" si="4"/>
        <v>0</v>
      </c>
    </row>
    <row r="285" spans="8:10" x14ac:dyDescent="0.3">
      <c r="H285" s="89">
        <v>283</v>
      </c>
      <c r="I285" s="89">
        <f t="shared" ca="1" si="4"/>
        <v>1</v>
      </c>
      <c r="J285" s="89">
        <f t="shared" ca="1" si="4"/>
        <v>1</v>
      </c>
    </row>
    <row r="286" spans="8:10" x14ac:dyDescent="0.3">
      <c r="H286" s="89">
        <v>284</v>
      </c>
      <c r="I286" s="89">
        <f t="shared" ca="1" si="4"/>
        <v>0</v>
      </c>
      <c r="J286" s="89">
        <f t="shared" ca="1" si="4"/>
        <v>0</v>
      </c>
    </row>
    <row r="287" spans="8:10" x14ac:dyDescent="0.3">
      <c r="H287" s="89">
        <v>285</v>
      </c>
      <c r="I287" s="89">
        <f t="shared" ca="1" si="4"/>
        <v>1</v>
      </c>
      <c r="J287" s="89">
        <f t="shared" ca="1" si="4"/>
        <v>1</v>
      </c>
    </row>
    <row r="288" spans="8:10" x14ac:dyDescent="0.3">
      <c r="H288" s="89">
        <v>286</v>
      </c>
      <c r="I288" s="89">
        <f t="shared" ca="1" si="4"/>
        <v>0</v>
      </c>
      <c r="J288" s="89">
        <f t="shared" ca="1" si="4"/>
        <v>1</v>
      </c>
    </row>
    <row r="289" spans="8:10" x14ac:dyDescent="0.3">
      <c r="H289" s="89">
        <v>287</v>
      </c>
      <c r="I289" s="89">
        <f t="shared" ca="1" si="4"/>
        <v>1</v>
      </c>
      <c r="J289" s="89">
        <f t="shared" ca="1" si="4"/>
        <v>0</v>
      </c>
    </row>
    <row r="290" spans="8:10" x14ac:dyDescent="0.3">
      <c r="H290" s="89">
        <v>288</v>
      </c>
      <c r="I290" s="89">
        <f t="shared" ca="1" si="4"/>
        <v>0</v>
      </c>
      <c r="J290" s="89">
        <f t="shared" ca="1" si="4"/>
        <v>1</v>
      </c>
    </row>
    <row r="291" spans="8:10" x14ac:dyDescent="0.3">
      <c r="H291" s="89">
        <v>289</v>
      </c>
      <c r="I291" s="89">
        <f t="shared" ca="1" si="4"/>
        <v>1</v>
      </c>
      <c r="J291" s="89">
        <f t="shared" ca="1" si="4"/>
        <v>0</v>
      </c>
    </row>
    <row r="292" spans="8:10" x14ac:dyDescent="0.3">
      <c r="H292" s="89">
        <v>290</v>
      </c>
      <c r="I292" s="89">
        <f t="shared" ca="1" si="4"/>
        <v>0</v>
      </c>
      <c r="J292" s="89">
        <f t="shared" ca="1" si="4"/>
        <v>1</v>
      </c>
    </row>
    <row r="293" spans="8:10" x14ac:dyDescent="0.3">
      <c r="H293" s="89">
        <v>291</v>
      </c>
      <c r="I293" s="89">
        <f t="shared" ca="1" si="4"/>
        <v>0</v>
      </c>
      <c r="J293" s="89">
        <f t="shared" ca="1" si="4"/>
        <v>1</v>
      </c>
    </row>
    <row r="294" spans="8:10" x14ac:dyDescent="0.3">
      <c r="H294" s="89">
        <v>292</v>
      </c>
      <c r="I294" s="89">
        <f t="shared" ca="1" si="4"/>
        <v>1</v>
      </c>
      <c r="J294" s="89">
        <f t="shared" ca="1" si="4"/>
        <v>0</v>
      </c>
    </row>
    <row r="295" spans="8:10" x14ac:dyDescent="0.3">
      <c r="H295" s="89">
        <v>293</v>
      </c>
      <c r="I295" s="89">
        <f t="shared" ca="1" si="4"/>
        <v>0</v>
      </c>
      <c r="J295" s="89">
        <f t="shared" ca="1" si="4"/>
        <v>0</v>
      </c>
    </row>
    <row r="296" spans="8:10" x14ac:dyDescent="0.3">
      <c r="H296" s="89">
        <v>294</v>
      </c>
      <c r="I296" s="89">
        <f t="shared" ca="1" si="4"/>
        <v>1</v>
      </c>
      <c r="J296" s="89">
        <f t="shared" ca="1" si="4"/>
        <v>1</v>
      </c>
    </row>
    <row r="297" spans="8:10" x14ac:dyDescent="0.3">
      <c r="H297" s="89">
        <v>295</v>
      </c>
      <c r="I297" s="89">
        <f t="shared" ca="1" si="4"/>
        <v>1</v>
      </c>
      <c r="J297" s="89">
        <f t="shared" ca="1" si="4"/>
        <v>1</v>
      </c>
    </row>
    <row r="298" spans="8:10" x14ac:dyDescent="0.3">
      <c r="H298" s="89">
        <v>296</v>
      </c>
      <c r="I298" s="89">
        <f t="shared" ca="1" si="4"/>
        <v>1</v>
      </c>
      <c r="J298" s="89">
        <f t="shared" ca="1" si="4"/>
        <v>1</v>
      </c>
    </row>
    <row r="299" spans="8:10" x14ac:dyDescent="0.3">
      <c r="H299" s="89">
        <v>297</v>
      </c>
      <c r="I299" s="89">
        <f t="shared" ca="1" si="4"/>
        <v>0</v>
      </c>
      <c r="J299" s="89">
        <f t="shared" ca="1" si="4"/>
        <v>1</v>
      </c>
    </row>
    <row r="300" spans="8:10" x14ac:dyDescent="0.3">
      <c r="H300" s="89">
        <v>298</v>
      </c>
      <c r="I300" s="89">
        <f t="shared" ca="1" si="4"/>
        <v>1</v>
      </c>
      <c r="J300" s="89">
        <f t="shared" ca="1" si="4"/>
        <v>1</v>
      </c>
    </row>
    <row r="301" spans="8:10" x14ac:dyDescent="0.3">
      <c r="H301" s="89">
        <v>299</v>
      </c>
      <c r="I301" s="89">
        <f t="shared" ca="1" si="4"/>
        <v>0</v>
      </c>
      <c r="J301" s="89">
        <f t="shared" ca="1" si="4"/>
        <v>0</v>
      </c>
    </row>
    <row r="302" spans="8:10" x14ac:dyDescent="0.3">
      <c r="H302" s="89">
        <v>300</v>
      </c>
      <c r="I302" s="89">
        <f t="shared" ca="1" si="4"/>
        <v>0</v>
      </c>
      <c r="J302" s="89">
        <f t="shared" ca="1" si="4"/>
        <v>0</v>
      </c>
    </row>
    <row r="303" spans="8:10" x14ac:dyDescent="0.3">
      <c r="H303" s="89">
        <v>301</v>
      </c>
      <c r="I303" s="89">
        <f t="shared" ca="1" si="4"/>
        <v>1</v>
      </c>
      <c r="J303" s="89">
        <f t="shared" ca="1" si="4"/>
        <v>1</v>
      </c>
    </row>
    <row r="304" spans="8:10" x14ac:dyDescent="0.3">
      <c r="H304" s="89">
        <v>302</v>
      </c>
      <c r="I304" s="89">
        <f t="shared" ca="1" si="4"/>
        <v>0</v>
      </c>
      <c r="J304" s="89">
        <f t="shared" ca="1" si="4"/>
        <v>0</v>
      </c>
    </row>
    <row r="305" spans="8:10" x14ac:dyDescent="0.3">
      <c r="H305" s="89">
        <v>303</v>
      </c>
      <c r="I305" s="89">
        <f t="shared" ca="1" si="4"/>
        <v>1</v>
      </c>
      <c r="J305" s="89">
        <f t="shared" ca="1" si="4"/>
        <v>1</v>
      </c>
    </row>
    <row r="306" spans="8:10" x14ac:dyDescent="0.3">
      <c r="H306" s="89">
        <v>304</v>
      </c>
      <c r="I306" s="89">
        <f t="shared" ca="1" si="4"/>
        <v>0</v>
      </c>
      <c r="J306" s="89">
        <f t="shared" ca="1" si="4"/>
        <v>0</v>
      </c>
    </row>
    <row r="307" spans="8:10" x14ac:dyDescent="0.3">
      <c r="H307" s="89">
        <v>305</v>
      </c>
      <c r="I307" s="89">
        <f t="shared" ca="1" si="4"/>
        <v>0</v>
      </c>
      <c r="J307" s="89">
        <f t="shared" ca="1" si="4"/>
        <v>0</v>
      </c>
    </row>
    <row r="308" spans="8:10" x14ac:dyDescent="0.3">
      <c r="H308" s="89">
        <v>306</v>
      </c>
      <c r="I308" s="89">
        <f t="shared" ca="1" si="4"/>
        <v>0</v>
      </c>
      <c r="J308" s="89">
        <f t="shared" ca="1" si="4"/>
        <v>1</v>
      </c>
    </row>
    <row r="309" spans="8:10" x14ac:dyDescent="0.3">
      <c r="H309" s="89">
        <v>307</v>
      </c>
      <c r="I309" s="89">
        <f t="shared" ca="1" si="4"/>
        <v>1</v>
      </c>
      <c r="J309" s="89">
        <f t="shared" ca="1" si="4"/>
        <v>0</v>
      </c>
    </row>
    <row r="310" spans="8:10" x14ac:dyDescent="0.3">
      <c r="H310" s="89">
        <v>308</v>
      </c>
      <c r="I310" s="89">
        <f t="shared" ca="1" si="4"/>
        <v>0</v>
      </c>
      <c r="J310" s="89">
        <f t="shared" ca="1" si="4"/>
        <v>1</v>
      </c>
    </row>
    <row r="311" spans="8:10" x14ac:dyDescent="0.3">
      <c r="H311" s="89">
        <v>309</v>
      </c>
      <c r="I311" s="89">
        <f t="shared" ca="1" si="4"/>
        <v>1</v>
      </c>
      <c r="J311" s="89">
        <f t="shared" ca="1" si="4"/>
        <v>0</v>
      </c>
    </row>
    <row r="312" spans="8:10" x14ac:dyDescent="0.3">
      <c r="H312" s="89">
        <v>310</v>
      </c>
      <c r="I312" s="89">
        <f t="shared" ca="1" si="4"/>
        <v>1</v>
      </c>
      <c r="J312" s="89">
        <f t="shared" ca="1" si="4"/>
        <v>1</v>
      </c>
    </row>
    <row r="313" spans="8:10" x14ac:dyDescent="0.3">
      <c r="H313" s="89">
        <v>311</v>
      </c>
      <c r="I313" s="89">
        <f t="shared" ca="1" si="4"/>
        <v>1</v>
      </c>
      <c r="J313" s="89">
        <f t="shared" ca="1" si="4"/>
        <v>0</v>
      </c>
    </row>
    <row r="314" spans="8:10" x14ac:dyDescent="0.3">
      <c r="H314" s="89">
        <v>312</v>
      </c>
      <c r="I314" s="89">
        <f t="shared" ca="1" si="4"/>
        <v>0</v>
      </c>
      <c r="J314" s="89">
        <f t="shared" ca="1" si="4"/>
        <v>0</v>
      </c>
    </row>
    <row r="315" spans="8:10" x14ac:dyDescent="0.3">
      <c r="H315" s="89">
        <v>313</v>
      </c>
      <c r="I315" s="89">
        <f t="shared" ca="1" si="4"/>
        <v>1</v>
      </c>
      <c r="J315" s="89">
        <f t="shared" ca="1" si="4"/>
        <v>0</v>
      </c>
    </row>
    <row r="316" spans="8:10" x14ac:dyDescent="0.3">
      <c r="H316" s="89">
        <v>314</v>
      </c>
      <c r="I316" s="89">
        <f t="shared" ca="1" si="4"/>
        <v>1</v>
      </c>
      <c r="J316" s="89">
        <f t="shared" ca="1" si="4"/>
        <v>0</v>
      </c>
    </row>
    <row r="317" spans="8:10" x14ac:dyDescent="0.3">
      <c r="H317" s="89">
        <v>315</v>
      </c>
      <c r="I317" s="89">
        <f t="shared" ca="1" si="4"/>
        <v>0</v>
      </c>
      <c r="J317" s="89">
        <f t="shared" ca="1" si="4"/>
        <v>1</v>
      </c>
    </row>
    <row r="318" spans="8:10" x14ac:dyDescent="0.3">
      <c r="H318" s="89">
        <v>316</v>
      </c>
      <c r="I318" s="89">
        <f t="shared" ca="1" si="4"/>
        <v>0</v>
      </c>
      <c r="J318" s="89">
        <f t="shared" ca="1" si="4"/>
        <v>0</v>
      </c>
    </row>
    <row r="319" spans="8:10" x14ac:dyDescent="0.3">
      <c r="H319" s="89">
        <v>317</v>
      </c>
      <c r="I319" s="89">
        <f t="shared" ca="1" si="4"/>
        <v>1</v>
      </c>
      <c r="J319" s="89">
        <f t="shared" ca="1" si="4"/>
        <v>0</v>
      </c>
    </row>
    <row r="320" spans="8:10" x14ac:dyDescent="0.3">
      <c r="H320" s="89">
        <v>318</v>
      </c>
      <c r="I320" s="89">
        <f t="shared" ca="1" si="4"/>
        <v>1</v>
      </c>
      <c r="J320" s="89">
        <f t="shared" ca="1" si="4"/>
        <v>1</v>
      </c>
    </row>
    <row r="321" spans="8:10" x14ac:dyDescent="0.3">
      <c r="H321" s="89">
        <v>319</v>
      </c>
      <c r="I321" s="89">
        <f t="shared" ca="1" si="4"/>
        <v>0</v>
      </c>
      <c r="J321" s="89">
        <f t="shared" ca="1" si="4"/>
        <v>1</v>
      </c>
    </row>
    <row r="322" spans="8:10" x14ac:dyDescent="0.3">
      <c r="H322" s="89">
        <v>320</v>
      </c>
      <c r="I322" s="89">
        <f t="shared" ca="1" si="4"/>
        <v>1</v>
      </c>
      <c r="J322" s="89">
        <f t="shared" ca="1" si="4"/>
        <v>0</v>
      </c>
    </row>
    <row r="323" spans="8:10" x14ac:dyDescent="0.3">
      <c r="H323" s="89">
        <v>321</v>
      </c>
      <c r="I323" s="89">
        <f t="shared" ca="1" si="4"/>
        <v>0</v>
      </c>
      <c r="J323" s="89">
        <f t="shared" ca="1" si="4"/>
        <v>0</v>
      </c>
    </row>
    <row r="324" spans="8:10" x14ac:dyDescent="0.3">
      <c r="H324" s="89">
        <v>322</v>
      </c>
      <c r="I324" s="89">
        <f t="shared" ref="I324:J387" ca="1" si="5">RANDBETWEEN(0,1)</f>
        <v>0</v>
      </c>
      <c r="J324" s="89">
        <f t="shared" ca="1" si="5"/>
        <v>0</v>
      </c>
    </row>
    <row r="325" spans="8:10" x14ac:dyDescent="0.3">
      <c r="H325" s="89">
        <v>323</v>
      </c>
      <c r="I325" s="89">
        <f t="shared" ca="1" si="5"/>
        <v>0</v>
      </c>
      <c r="J325" s="89">
        <f t="shared" ca="1" si="5"/>
        <v>0</v>
      </c>
    </row>
    <row r="326" spans="8:10" x14ac:dyDescent="0.3">
      <c r="H326" s="89">
        <v>324</v>
      </c>
      <c r="I326" s="89">
        <f t="shared" ca="1" si="5"/>
        <v>0</v>
      </c>
      <c r="J326" s="89">
        <f t="shared" ca="1" si="5"/>
        <v>0</v>
      </c>
    </row>
    <row r="327" spans="8:10" x14ac:dyDescent="0.3">
      <c r="H327" s="89">
        <v>325</v>
      </c>
      <c r="I327" s="89">
        <f t="shared" ca="1" si="5"/>
        <v>0</v>
      </c>
      <c r="J327" s="89">
        <f t="shared" ca="1" si="5"/>
        <v>0</v>
      </c>
    </row>
    <row r="328" spans="8:10" x14ac:dyDescent="0.3">
      <c r="H328" s="89">
        <v>326</v>
      </c>
      <c r="I328" s="89">
        <f t="shared" ca="1" si="5"/>
        <v>1</v>
      </c>
      <c r="J328" s="89">
        <f t="shared" ca="1" si="5"/>
        <v>1</v>
      </c>
    </row>
    <row r="329" spans="8:10" x14ac:dyDescent="0.3">
      <c r="H329" s="89">
        <v>327</v>
      </c>
      <c r="I329" s="89">
        <f t="shared" ca="1" si="5"/>
        <v>0</v>
      </c>
      <c r="J329" s="89">
        <f t="shared" ca="1" si="5"/>
        <v>0</v>
      </c>
    </row>
    <row r="330" spans="8:10" x14ac:dyDescent="0.3">
      <c r="H330" s="89">
        <v>328</v>
      </c>
      <c r="I330" s="89">
        <f t="shared" ca="1" si="5"/>
        <v>0</v>
      </c>
      <c r="J330" s="89">
        <f t="shared" ca="1" si="5"/>
        <v>0</v>
      </c>
    </row>
    <row r="331" spans="8:10" x14ac:dyDescent="0.3">
      <c r="H331" s="89">
        <v>329</v>
      </c>
      <c r="I331" s="89">
        <f t="shared" ca="1" si="5"/>
        <v>1</v>
      </c>
      <c r="J331" s="89">
        <f t="shared" ca="1" si="5"/>
        <v>1</v>
      </c>
    </row>
    <row r="332" spans="8:10" x14ac:dyDescent="0.3">
      <c r="H332" s="89">
        <v>330</v>
      </c>
      <c r="I332" s="89">
        <f t="shared" ca="1" si="5"/>
        <v>1</v>
      </c>
      <c r="J332" s="89">
        <f t="shared" ca="1" si="5"/>
        <v>1</v>
      </c>
    </row>
    <row r="333" spans="8:10" x14ac:dyDescent="0.3">
      <c r="H333" s="89">
        <v>331</v>
      </c>
      <c r="I333" s="89">
        <f t="shared" ca="1" si="5"/>
        <v>0</v>
      </c>
      <c r="J333" s="89">
        <f t="shared" ca="1" si="5"/>
        <v>1</v>
      </c>
    </row>
    <row r="334" spans="8:10" x14ac:dyDescent="0.3">
      <c r="H334" s="89">
        <v>332</v>
      </c>
      <c r="I334" s="89">
        <f t="shared" ca="1" si="5"/>
        <v>0</v>
      </c>
      <c r="J334" s="89">
        <f t="shared" ca="1" si="5"/>
        <v>1</v>
      </c>
    </row>
    <row r="335" spans="8:10" x14ac:dyDescent="0.3">
      <c r="H335" s="89">
        <v>333</v>
      </c>
      <c r="I335" s="89">
        <f t="shared" ca="1" si="5"/>
        <v>0</v>
      </c>
      <c r="J335" s="89">
        <f t="shared" ca="1" si="5"/>
        <v>1</v>
      </c>
    </row>
    <row r="336" spans="8:10" x14ac:dyDescent="0.3">
      <c r="H336" s="89">
        <v>334</v>
      </c>
      <c r="I336" s="89">
        <f t="shared" ca="1" si="5"/>
        <v>0</v>
      </c>
      <c r="J336" s="89">
        <f t="shared" ca="1" si="5"/>
        <v>0</v>
      </c>
    </row>
    <row r="337" spans="8:10" x14ac:dyDescent="0.3">
      <c r="H337" s="89">
        <v>335</v>
      </c>
      <c r="I337" s="89">
        <f t="shared" ca="1" si="5"/>
        <v>0</v>
      </c>
      <c r="J337" s="89">
        <f t="shared" ca="1" si="5"/>
        <v>0</v>
      </c>
    </row>
    <row r="338" spans="8:10" x14ac:dyDescent="0.3">
      <c r="H338" s="89">
        <v>336</v>
      </c>
      <c r="I338" s="89">
        <f t="shared" ca="1" si="5"/>
        <v>0</v>
      </c>
      <c r="J338" s="89">
        <f t="shared" ca="1" si="5"/>
        <v>0</v>
      </c>
    </row>
    <row r="339" spans="8:10" x14ac:dyDescent="0.3">
      <c r="H339" s="89">
        <v>337</v>
      </c>
      <c r="I339" s="89">
        <f t="shared" ca="1" si="5"/>
        <v>0</v>
      </c>
      <c r="J339" s="89">
        <f t="shared" ca="1" si="5"/>
        <v>1</v>
      </c>
    </row>
    <row r="340" spans="8:10" x14ac:dyDescent="0.3">
      <c r="H340" s="89">
        <v>338</v>
      </c>
      <c r="I340" s="89">
        <f t="shared" ca="1" si="5"/>
        <v>1</v>
      </c>
      <c r="J340" s="89">
        <f t="shared" ca="1" si="5"/>
        <v>1</v>
      </c>
    </row>
    <row r="341" spans="8:10" x14ac:dyDescent="0.3">
      <c r="H341" s="89">
        <v>339</v>
      </c>
      <c r="I341" s="89">
        <f t="shared" ca="1" si="5"/>
        <v>1</v>
      </c>
      <c r="J341" s="89">
        <f t="shared" ca="1" si="5"/>
        <v>0</v>
      </c>
    </row>
    <row r="342" spans="8:10" x14ac:dyDescent="0.3">
      <c r="H342" s="89">
        <v>340</v>
      </c>
      <c r="I342" s="89">
        <f t="shared" ca="1" si="5"/>
        <v>1</v>
      </c>
      <c r="J342" s="89">
        <f t="shared" ca="1" si="5"/>
        <v>0</v>
      </c>
    </row>
    <row r="343" spans="8:10" x14ac:dyDescent="0.3">
      <c r="H343" s="89">
        <v>341</v>
      </c>
      <c r="I343" s="89">
        <f t="shared" ca="1" si="5"/>
        <v>1</v>
      </c>
      <c r="J343" s="89">
        <f t="shared" ca="1" si="5"/>
        <v>1</v>
      </c>
    </row>
    <row r="344" spans="8:10" x14ac:dyDescent="0.3">
      <c r="H344" s="89">
        <v>342</v>
      </c>
      <c r="I344" s="89">
        <f t="shared" ca="1" si="5"/>
        <v>0</v>
      </c>
      <c r="J344" s="89">
        <f t="shared" ca="1" si="5"/>
        <v>0</v>
      </c>
    </row>
    <row r="345" spans="8:10" x14ac:dyDescent="0.3">
      <c r="H345" s="89">
        <v>343</v>
      </c>
      <c r="I345" s="89">
        <f t="shared" ca="1" si="5"/>
        <v>0</v>
      </c>
      <c r="J345" s="89">
        <f t="shared" ca="1" si="5"/>
        <v>1</v>
      </c>
    </row>
    <row r="346" spans="8:10" x14ac:dyDescent="0.3">
      <c r="H346" s="89">
        <v>344</v>
      </c>
      <c r="I346" s="89">
        <f t="shared" ca="1" si="5"/>
        <v>1</v>
      </c>
      <c r="J346" s="89">
        <f t="shared" ca="1" si="5"/>
        <v>1</v>
      </c>
    </row>
    <row r="347" spans="8:10" x14ac:dyDescent="0.3">
      <c r="H347" s="89">
        <v>345</v>
      </c>
      <c r="I347" s="89">
        <f t="shared" ca="1" si="5"/>
        <v>0</v>
      </c>
      <c r="J347" s="89">
        <f t="shared" ca="1" si="5"/>
        <v>0</v>
      </c>
    </row>
    <row r="348" spans="8:10" x14ac:dyDescent="0.3">
      <c r="H348" s="89">
        <v>346</v>
      </c>
      <c r="I348" s="89">
        <f t="shared" ca="1" si="5"/>
        <v>0</v>
      </c>
      <c r="J348" s="89">
        <f t="shared" ca="1" si="5"/>
        <v>1</v>
      </c>
    </row>
    <row r="349" spans="8:10" x14ac:dyDescent="0.3">
      <c r="H349" s="89">
        <v>347</v>
      </c>
      <c r="I349" s="89">
        <f t="shared" ca="1" si="5"/>
        <v>0</v>
      </c>
      <c r="J349" s="89">
        <f t="shared" ca="1" si="5"/>
        <v>1</v>
      </c>
    </row>
    <row r="350" spans="8:10" x14ac:dyDescent="0.3">
      <c r="H350" s="89">
        <v>348</v>
      </c>
      <c r="I350" s="89">
        <f t="shared" ca="1" si="5"/>
        <v>1</v>
      </c>
      <c r="J350" s="89">
        <f t="shared" ca="1" si="5"/>
        <v>0</v>
      </c>
    </row>
    <row r="351" spans="8:10" x14ac:dyDescent="0.3">
      <c r="H351" s="89">
        <v>349</v>
      </c>
      <c r="I351" s="89">
        <f t="shared" ca="1" si="5"/>
        <v>1</v>
      </c>
      <c r="J351" s="89">
        <f t="shared" ca="1" si="5"/>
        <v>0</v>
      </c>
    </row>
    <row r="352" spans="8:10" x14ac:dyDescent="0.3">
      <c r="H352" s="89">
        <v>350</v>
      </c>
      <c r="I352" s="89">
        <f t="shared" ca="1" si="5"/>
        <v>1</v>
      </c>
      <c r="J352" s="89">
        <f t="shared" ca="1" si="5"/>
        <v>0</v>
      </c>
    </row>
    <row r="353" spans="8:10" x14ac:dyDescent="0.3">
      <c r="H353" s="89">
        <v>351</v>
      </c>
      <c r="I353" s="89">
        <f t="shared" ca="1" si="5"/>
        <v>1</v>
      </c>
      <c r="J353" s="89">
        <f t="shared" ca="1" si="5"/>
        <v>0</v>
      </c>
    </row>
    <row r="354" spans="8:10" x14ac:dyDescent="0.3">
      <c r="H354" s="89">
        <v>352</v>
      </c>
      <c r="I354" s="89">
        <f t="shared" ca="1" si="5"/>
        <v>0</v>
      </c>
      <c r="J354" s="89">
        <f t="shared" ca="1" si="5"/>
        <v>1</v>
      </c>
    </row>
    <row r="355" spans="8:10" x14ac:dyDescent="0.3">
      <c r="H355" s="89">
        <v>353</v>
      </c>
      <c r="I355" s="89">
        <f t="shared" ca="1" si="5"/>
        <v>1</v>
      </c>
      <c r="J355" s="89">
        <f t="shared" ca="1" si="5"/>
        <v>1</v>
      </c>
    </row>
    <row r="356" spans="8:10" x14ac:dyDescent="0.3">
      <c r="H356" s="89">
        <v>354</v>
      </c>
      <c r="I356" s="89">
        <f t="shared" ca="1" si="5"/>
        <v>0</v>
      </c>
      <c r="J356" s="89">
        <f t="shared" ca="1" si="5"/>
        <v>1</v>
      </c>
    </row>
    <row r="357" spans="8:10" x14ac:dyDescent="0.3">
      <c r="H357" s="89">
        <v>355</v>
      </c>
      <c r="I357" s="89">
        <f t="shared" ca="1" si="5"/>
        <v>1</v>
      </c>
      <c r="J357" s="89">
        <f t="shared" ca="1" si="5"/>
        <v>1</v>
      </c>
    </row>
    <row r="358" spans="8:10" x14ac:dyDescent="0.3">
      <c r="H358" s="89">
        <v>356</v>
      </c>
      <c r="I358" s="89">
        <f t="shared" ca="1" si="5"/>
        <v>1</v>
      </c>
      <c r="J358" s="89">
        <f t="shared" ca="1" si="5"/>
        <v>1</v>
      </c>
    </row>
    <row r="359" spans="8:10" x14ac:dyDescent="0.3">
      <c r="H359" s="89">
        <v>357</v>
      </c>
      <c r="I359" s="89">
        <f t="shared" ca="1" si="5"/>
        <v>0</v>
      </c>
      <c r="J359" s="89">
        <f t="shared" ca="1" si="5"/>
        <v>1</v>
      </c>
    </row>
    <row r="360" spans="8:10" x14ac:dyDescent="0.3">
      <c r="H360" s="89">
        <v>358</v>
      </c>
      <c r="I360" s="89">
        <f t="shared" ca="1" si="5"/>
        <v>1</v>
      </c>
      <c r="J360" s="89">
        <f t="shared" ca="1" si="5"/>
        <v>1</v>
      </c>
    </row>
    <row r="361" spans="8:10" x14ac:dyDescent="0.3">
      <c r="H361" s="89">
        <v>359</v>
      </c>
      <c r="I361" s="89">
        <f t="shared" ca="1" si="5"/>
        <v>0</v>
      </c>
      <c r="J361" s="89">
        <f t="shared" ca="1" si="5"/>
        <v>1</v>
      </c>
    </row>
    <row r="362" spans="8:10" x14ac:dyDescent="0.3">
      <c r="H362" s="89">
        <v>360</v>
      </c>
      <c r="I362" s="89">
        <f t="shared" ca="1" si="5"/>
        <v>0</v>
      </c>
      <c r="J362" s="89">
        <f t="shared" ca="1" si="5"/>
        <v>1</v>
      </c>
    </row>
    <row r="363" spans="8:10" x14ac:dyDescent="0.3">
      <c r="H363" s="89">
        <v>361</v>
      </c>
      <c r="I363" s="89">
        <f t="shared" ca="1" si="5"/>
        <v>1</v>
      </c>
      <c r="J363" s="89">
        <f t="shared" ca="1" si="5"/>
        <v>0</v>
      </c>
    </row>
    <row r="364" spans="8:10" x14ac:dyDescent="0.3">
      <c r="H364" s="89">
        <v>362</v>
      </c>
      <c r="I364" s="89">
        <f t="shared" ca="1" si="5"/>
        <v>1</v>
      </c>
      <c r="J364" s="89">
        <f t="shared" ca="1" si="5"/>
        <v>0</v>
      </c>
    </row>
    <row r="365" spans="8:10" x14ac:dyDescent="0.3">
      <c r="H365" s="89">
        <v>363</v>
      </c>
      <c r="I365" s="89">
        <f t="shared" ca="1" si="5"/>
        <v>0</v>
      </c>
      <c r="J365" s="89">
        <f t="shared" ca="1" si="5"/>
        <v>1</v>
      </c>
    </row>
    <row r="366" spans="8:10" x14ac:dyDescent="0.3">
      <c r="H366" s="89">
        <v>364</v>
      </c>
      <c r="I366" s="89">
        <f t="shared" ca="1" si="5"/>
        <v>0</v>
      </c>
      <c r="J366" s="89">
        <f t="shared" ca="1" si="5"/>
        <v>0</v>
      </c>
    </row>
    <row r="367" spans="8:10" x14ac:dyDescent="0.3">
      <c r="H367" s="89">
        <v>365</v>
      </c>
      <c r="I367" s="89">
        <f t="shared" ca="1" si="5"/>
        <v>0</v>
      </c>
      <c r="J367" s="89">
        <f t="shared" ca="1" si="5"/>
        <v>0</v>
      </c>
    </row>
    <row r="368" spans="8:10" x14ac:dyDescent="0.3">
      <c r="H368" s="89">
        <v>366</v>
      </c>
      <c r="I368" s="89">
        <f t="shared" ca="1" si="5"/>
        <v>0</v>
      </c>
      <c r="J368" s="89">
        <f t="shared" ca="1" si="5"/>
        <v>0</v>
      </c>
    </row>
    <row r="369" spans="8:10" x14ac:dyDescent="0.3">
      <c r="H369" s="89">
        <v>367</v>
      </c>
      <c r="I369" s="89">
        <f t="shared" ca="1" si="5"/>
        <v>0</v>
      </c>
      <c r="J369" s="89">
        <f t="shared" ca="1" si="5"/>
        <v>0</v>
      </c>
    </row>
    <row r="370" spans="8:10" x14ac:dyDescent="0.3">
      <c r="H370" s="89">
        <v>368</v>
      </c>
      <c r="I370" s="89">
        <f t="shared" ca="1" si="5"/>
        <v>1</v>
      </c>
      <c r="J370" s="89">
        <f t="shared" ca="1" si="5"/>
        <v>1</v>
      </c>
    </row>
    <row r="371" spans="8:10" x14ac:dyDescent="0.3">
      <c r="H371" s="89">
        <v>369</v>
      </c>
      <c r="I371" s="89">
        <f t="shared" ca="1" si="5"/>
        <v>1</v>
      </c>
      <c r="J371" s="89">
        <f t="shared" ca="1" si="5"/>
        <v>1</v>
      </c>
    </row>
    <row r="372" spans="8:10" x14ac:dyDescent="0.3">
      <c r="H372" s="89">
        <v>370</v>
      </c>
      <c r="I372" s="89">
        <f t="shared" ca="1" si="5"/>
        <v>0</v>
      </c>
      <c r="J372" s="89">
        <f t="shared" ca="1" si="5"/>
        <v>0</v>
      </c>
    </row>
    <row r="373" spans="8:10" x14ac:dyDescent="0.3">
      <c r="H373" s="89">
        <v>371</v>
      </c>
      <c r="I373" s="89">
        <f t="shared" ca="1" si="5"/>
        <v>1</v>
      </c>
      <c r="J373" s="89">
        <f t="shared" ca="1" si="5"/>
        <v>1</v>
      </c>
    </row>
    <row r="374" spans="8:10" x14ac:dyDescent="0.3">
      <c r="H374" s="89">
        <v>372</v>
      </c>
      <c r="I374" s="89">
        <f t="shared" ca="1" si="5"/>
        <v>0</v>
      </c>
      <c r="J374" s="89">
        <f t="shared" ca="1" si="5"/>
        <v>1</v>
      </c>
    </row>
    <row r="375" spans="8:10" x14ac:dyDescent="0.3">
      <c r="H375" s="89">
        <v>373</v>
      </c>
      <c r="I375" s="89">
        <f t="shared" ca="1" si="5"/>
        <v>1</v>
      </c>
      <c r="J375" s="89">
        <f t="shared" ca="1" si="5"/>
        <v>0</v>
      </c>
    </row>
    <row r="376" spans="8:10" x14ac:dyDescent="0.3">
      <c r="H376" s="89">
        <v>374</v>
      </c>
      <c r="I376" s="89">
        <f t="shared" ca="1" si="5"/>
        <v>1</v>
      </c>
      <c r="J376" s="89">
        <f t="shared" ca="1" si="5"/>
        <v>1</v>
      </c>
    </row>
    <row r="377" spans="8:10" x14ac:dyDescent="0.3">
      <c r="H377" s="89">
        <v>375</v>
      </c>
      <c r="I377" s="89">
        <f t="shared" ca="1" si="5"/>
        <v>0</v>
      </c>
      <c r="J377" s="89">
        <f t="shared" ca="1" si="5"/>
        <v>0</v>
      </c>
    </row>
    <row r="378" spans="8:10" x14ac:dyDescent="0.3">
      <c r="H378" s="89">
        <v>376</v>
      </c>
      <c r="I378" s="89">
        <f t="shared" ca="1" si="5"/>
        <v>1</v>
      </c>
      <c r="J378" s="89">
        <f t="shared" ca="1" si="5"/>
        <v>0</v>
      </c>
    </row>
    <row r="379" spans="8:10" x14ac:dyDescent="0.3">
      <c r="H379" s="89">
        <v>377</v>
      </c>
      <c r="I379" s="89">
        <f t="shared" ca="1" si="5"/>
        <v>1</v>
      </c>
      <c r="J379" s="89">
        <f t="shared" ca="1" si="5"/>
        <v>1</v>
      </c>
    </row>
    <row r="380" spans="8:10" x14ac:dyDescent="0.3">
      <c r="H380" s="89">
        <v>378</v>
      </c>
      <c r="I380" s="89">
        <f t="shared" ca="1" si="5"/>
        <v>0</v>
      </c>
      <c r="J380" s="89">
        <f t="shared" ca="1" si="5"/>
        <v>1</v>
      </c>
    </row>
    <row r="381" spans="8:10" x14ac:dyDescent="0.3">
      <c r="H381" s="89">
        <v>379</v>
      </c>
      <c r="I381" s="89">
        <f t="shared" ca="1" si="5"/>
        <v>0</v>
      </c>
      <c r="J381" s="89">
        <f t="shared" ca="1" si="5"/>
        <v>1</v>
      </c>
    </row>
    <row r="382" spans="8:10" x14ac:dyDescent="0.3">
      <c r="H382" s="89">
        <v>380</v>
      </c>
      <c r="I382" s="89">
        <f t="shared" ca="1" si="5"/>
        <v>0</v>
      </c>
      <c r="J382" s="89">
        <f t="shared" ca="1" si="5"/>
        <v>0</v>
      </c>
    </row>
    <row r="383" spans="8:10" x14ac:dyDescent="0.3">
      <c r="H383" s="89">
        <v>381</v>
      </c>
      <c r="I383" s="89">
        <f t="shared" ca="1" si="5"/>
        <v>1</v>
      </c>
      <c r="J383" s="89">
        <f t="shared" ca="1" si="5"/>
        <v>1</v>
      </c>
    </row>
    <row r="384" spans="8:10" x14ac:dyDescent="0.3">
      <c r="H384" s="89">
        <v>382</v>
      </c>
      <c r="I384" s="89">
        <f t="shared" ca="1" si="5"/>
        <v>0</v>
      </c>
      <c r="J384" s="89">
        <f t="shared" ca="1" si="5"/>
        <v>1</v>
      </c>
    </row>
    <row r="385" spans="8:10" x14ac:dyDescent="0.3">
      <c r="H385" s="89">
        <v>383</v>
      </c>
      <c r="I385" s="89">
        <f t="shared" ca="1" si="5"/>
        <v>1</v>
      </c>
      <c r="J385" s="89">
        <f t="shared" ca="1" si="5"/>
        <v>1</v>
      </c>
    </row>
    <row r="386" spans="8:10" x14ac:dyDescent="0.3">
      <c r="H386" s="89">
        <v>384</v>
      </c>
      <c r="I386" s="89">
        <f t="shared" ca="1" si="5"/>
        <v>0</v>
      </c>
      <c r="J386" s="89">
        <f t="shared" ca="1" si="5"/>
        <v>0</v>
      </c>
    </row>
    <row r="387" spans="8:10" x14ac:dyDescent="0.3">
      <c r="H387" s="89">
        <v>385</v>
      </c>
      <c r="I387" s="89">
        <f t="shared" ca="1" si="5"/>
        <v>0</v>
      </c>
      <c r="J387" s="89">
        <f t="shared" ca="1" si="5"/>
        <v>1</v>
      </c>
    </row>
    <row r="388" spans="8:10" x14ac:dyDescent="0.3">
      <c r="H388" s="89">
        <v>386</v>
      </c>
      <c r="I388" s="89">
        <f t="shared" ref="I388:J451" ca="1" si="6">RANDBETWEEN(0,1)</f>
        <v>1</v>
      </c>
      <c r="J388" s="89">
        <f t="shared" ca="1" si="6"/>
        <v>0</v>
      </c>
    </row>
    <row r="389" spans="8:10" x14ac:dyDescent="0.3">
      <c r="H389" s="89">
        <v>387</v>
      </c>
      <c r="I389" s="89">
        <f t="shared" ca="1" si="6"/>
        <v>0</v>
      </c>
      <c r="J389" s="89">
        <f t="shared" ca="1" si="6"/>
        <v>0</v>
      </c>
    </row>
    <row r="390" spans="8:10" x14ac:dyDescent="0.3">
      <c r="H390" s="89">
        <v>388</v>
      </c>
      <c r="I390" s="89">
        <f t="shared" ca="1" si="6"/>
        <v>1</v>
      </c>
      <c r="J390" s="89">
        <f t="shared" ca="1" si="6"/>
        <v>0</v>
      </c>
    </row>
    <row r="391" spans="8:10" x14ac:dyDescent="0.3">
      <c r="H391" s="89">
        <v>389</v>
      </c>
      <c r="I391" s="89">
        <f t="shared" ca="1" si="6"/>
        <v>1</v>
      </c>
      <c r="J391" s="89">
        <f t="shared" ca="1" si="6"/>
        <v>0</v>
      </c>
    </row>
    <row r="392" spans="8:10" x14ac:dyDescent="0.3">
      <c r="H392" s="89">
        <v>390</v>
      </c>
      <c r="I392" s="89">
        <f t="shared" ca="1" si="6"/>
        <v>0</v>
      </c>
      <c r="J392" s="89">
        <f t="shared" ca="1" si="6"/>
        <v>0</v>
      </c>
    </row>
    <row r="393" spans="8:10" x14ac:dyDescent="0.3">
      <c r="H393" s="89">
        <v>391</v>
      </c>
      <c r="I393" s="89">
        <f t="shared" ca="1" si="6"/>
        <v>1</v>
      </c>
      <c r="J393" s="89">
        <f t="shared" ca="1" si="6"/>
        <v>1</v>
      </c>
    </row>
    <row r="394" spans="8:10" x14ac:dyDescent="0.3">
      <c r="H394" s="89">
        <v>392</v>
      </c>
      <c r="I394" s="89">
        <f t="shared" ca="1" si="6"/>
        <v>1</v>
      </c>
      <c r="J394" s="89">
        <f t="shared" ca="1" si="6"/>
        <v>1</v>
      </c>
    </row>
    <row r="395" spans="8:10" x14ac:dyDescent="0.3">
      <c r="H395" s="89">
        <v>393</v>
      </c>
      <c r="I395" s="89">
        <f t="shared" ca="1" si="6"/>
        <v>0</v>
      </c>
      <c r="J395" s="89">
        <f t="shared" ca="1" si="6"/>
        <v>0</v>
      </c>
    </row>
    <row r="396" spans="8:10" x14ac:dyDescent="0.3">
      <c r="H396" s="89">
        <v>394</v>
      </c>
      <c r="I396" s="89">
        <f t="shared" ca="1" si="6"/>
        <v>1</v>
      </c>
      <c r="J396" s="89">
        <f t="shared" ca="1" si="6"/>
        <v>1</v>
      </c>
    </row>
    <row r="397" spans="8:10" x14ac:dyDescent="0.3">
      <c r="H397" s="89">
        <v>395</v>
      </c>
      <c r="I397" s="89">
        <f t="shared" ca="1" si="6"/>
        <v>0</v>
      </c>
      <c r="J397" s="89">
        <f t="shared" ca="1" si="6"/>
        <v>0</v>
      </c>
    </row>
    <row r="398" spans="8:10" x14ac:dyDescent="0.3">
      <c r="H398" s="89">
        <v>396</v>
      </c>
      <c r="I398" s="89">
        <f t="shared" ca="1" si="6"/>
        <v>1</v>
      </c>
      <c r="J398" s="89">
        <f t="shared" ca="1" si="6"/>
        <v>0</v>
      </c>
    </row>
    <row r="399" spans="8:10" x14ac:dyDescent="0.3">
      <c r="H399" s="89">
        <v>397</v>
      </c>
      <c r="I399" s="89">
        <f t="shared" ca="1" si="6"/>
        <v>1</v>
      </c>
      <c r="J399" s="89">
        <f t="shared" ca="1" si="6"/>
        <v>0</v>
      </c>
    </row>
    <row r="400" spans="8:10" x14ac:dyDescent="0.3">
      <c r="H400" s="89">
        <v>398</v>
      </c>
      <c r="I400" s="89">
        <f t="shared" ca="1" si="6"/>
        <v>1</v>
      </c>
      <c r="J400" s="89">
        <f t="shared" ca="1" si="6"/>
        <v>0</v>
      </c>
    </row>
    <row r="401" spans="8:10" x14ac:dyDescent="0.3">
      <c r="H401" s="89">
        <v>399</v>
      </c>
      <c r="I401" s="89">
        <f t="shared" ca="1" si="6"/>
        <v>1</v>
      </c>
      <c r="J401" s="89">
        <f t="shared" ca="1" si="6"/>
        <v>0</v>
      </c>
    </row>
    <row r="402" spans="8:10" x14ac:dyDescent="0.3">
      <c r="H402" s="89">
        <v>400</v>
      </c>
      <c r="I402" s="89">
        <f t="shared" ca="1" si="6"/>
        <v>0</v>
      </c>
      <c r="J402" s="89">
        <f t="shared" ca="1" si="6"/>
        <v>1</v>
      </c>
    </row>
    <row r="403" spans="8:10" x14ac:dyDescent="0.3">
      <c r="H403" s="89">
        <v>401</v>
      </c>
      <c r="I403" s="89">
        <f t="shared" ca="1" si="6"/>
        <v>1</v>
      </c>
      <c r="J403" s="89">
        <f t="shared" ca="1" si="6"/>
        <v>0</v>
      </c>
    </row>
    <row r="404" spans="8:10" x14ac:dyDescent="0.3">
      <c r="H404" s="89">
        <v>402</v>
      </c>
      <c r="I404" s="89">
        <f t="shared" ca="1" si="6"/>
        <v>1</v>
      </c>
      <c r="J404" s="89">
        <f t="shared" ca="1" si="6"/>
        <v>1</v>
      </c>
    </row>
    <row r="405" spans="8:10" x14ac:dyDescent="0.3">
      <c r="H405" s="89">
        <v>403</v>
      </c>
      <c r="I405" s="89">
        <f t="shared" ca="1" si="6"/>
        <v>0</v>
      </c>
      <c r="J405" s="89">
        <f t="shared" ca="1" si="6"/>
        <v>1</v>
      </c>
    </row>
    <row r="406" spans="8:10" x14ac:dyDescent="0.3">
      <c r="H406" s="89">
        <v>404</v>
      </c>
      <c r="I406" s="89">
        <f t="shared" ca="1" si="6"/>
        <v>1</v>
      </c>
      <c r="J406" s="89">
        <f t="shared" ca="1" si="6"/>
        <v>0</v>
      </c>
    </row>
    <row r="407" spans="8:10" x14ac:dyDescent="0.3">
      <c r="H407" s="89">
        <v>405</v>
      </c>
      <c r="I407" s="89">
        <f t="shared" ca="1" si="6"/>
        <v>1</v>
      </c>
      <c r="J407" s="89">
        <f t="shared" ca="1" si="6"/>
        <v>0</v>
      </c>
    </row>
    <row r="408" spans="8:10" x14ac:dyDescent="0.3">
      <c r="H408" s="89">
        <v>406</v>
      </c>
      <c r="I408" s="89">
        <f t="shared" ca="1" si="6"/>
        <v>1</v>
      </c>
      <c r="J408" s="89">
        <f t="shared" ca="1" si="6"/>
        <v>1</v>
      </c>
    </row>
    <row r="409" spans="8:10" x14ac:dyDescent="0.3">
      <c r="H409" s="89">
        <v>407</v>
      </c>
      <c r="I409" s="89">
        <f t="shared" ca="1" si="6"/>
        <v>0</v>
      </c>
      <c r="J409" s="89">
        <f t="shared" ca="1" si="6"/>
        <v>1</v>
      </c>
    </row>
    <row r="410" spans="8:10" x14ac:dyDescent="0.3">
      <c r="H410" s="89">
        <v>408</v>
      </c>
      <c r="I410" s="89">
        <f t="shared" ca="1" si="6"/>
        <v>1</v>
      </c>
      <c r="J410" s="89">
        <f t="shared" ca="1" si="6"/>
        <v>0</v>
      </c>
    </row>
    <row r="411" spans="8:10" x14ac:dyDescent="0.3">
      <c r="H411" s="89">
        <v>409</v>
      </c>
      <c r="I411" s="89">
        <f t="shared" ca="1" si="6"/>
        <v>0</v>
      </c>
      <c r="J411" s="89">
        <f t="shared" ca="1" si="6"/>
        <v>1</v>
      </c>
    </row>
    <row r="412" spans="8:10" x14ac:dyDescent="0.3">
      <c r="H412" s="89">
        <v>410</v>
      </c>
      <c r="I412" s="89">
        <f t="shared" ca="1" si="6"/>
        <v>0</v>
      </c>
      <c r="J412" s="89">
        <f t="shared" ca="1" si="6"/>
        <v>0</v>
      </c>
    </row>
    <row r="413" spans="8:10" x14ac:dyDescent="0.3">
      <c r="H413" s="89">
        <v>411</v>
      </c>
      <c r="I413" s="89">
        <f t="shared" ca="1" si="6"/>
        <v>1</v>
      </c>
      <c r="J413" s="89">
        <f t="shared" ca="1" si="6"/>
        <v>1</v>
      </c>
    </row>
    <row r="414" spans="8:10" x14ac:dyDescent="0.3">
      <c r="H414" s="89">
        <v>412</v>
      </c>
      <c r="I414" s="89">
        <f t="shared" ca="1" si="6"/>
        <v>1</v>
      </c>
      <c r="J414" s="89">
        <f t="shared" ca="1" si="6"/>
        <v>1</v>
      </c>
    </row>
    <row r="415" spans="8:10" x14ac:dyDescent="0.3">
      <c r="H415" s="89">
        <v>413</v>
      </c>
      <c r="I415" s="89">
        <f t="shared" ca="1" si="6"/>
        <v>1</v>
      </c>
      <c r="J415" s="89">
        <f t="shared" ca="1" si="6"/>
        <v>0</v>
      </c>
    </row>
    <row r="416" spans="8:10" x14ac:dyDescent="0.3">
      <c r="H416" s="89">
        <v>414</v>
      </c>
      <c r="I416" s="89">
        <f t="shared" ca="1" si="6"/>
        <v>1</v>
      </c>
      <c r="J416" s="89">
        <f t="shared" ca="1" si="6"/>
        <v>0</v>
      </c>
    </row>
    <row r="417" spans="8:10" x14ac:dyDescent="0.3">
      <c r="H417" s="89">
        <v>415</v>
      </c>
      <c r="I417" s="89">
        <f t="shared" ca="1" si="6"/>
        <v>0</v>
      </c>
      <c r="J417" s="89">
        <f t="shared" ca="1" si="6"/>
        <v>1</v>
      </c>
    </row>
    <row r="418" spans="8:10" x14ac:dyDescent="0.3">
      <c r="H418" s="89">
        <v>416</v>
      </c>
      <c r="I418" s="89">
        <f t="shared" ca="1" si="6"/>
        <v>0</v>
      </c>
      <c r="J418" s="89">
        <f t="shared" ca="1" si="6"/>
        <v>1</v>
      </c>
    </row>
    <row r="419" spans="8:10" x14ac:dyDescent="0.3">
      <c r="H419" s="89">
        <v>417</v>
      </c>
      <c r="I419" s="89">
        <f t="shared" ca="1" si="6"/>
        <v>1</v>
      </c>
      <c r="J419" s="89">
        <f t="shared" ca="1" si="6"/>
        <v>1</v>
      </c>
    </row>
    <row r="420" spans="8:10" x14ac:dyDescent="0.3">
      <c r="H420" s="89">
        <v>418</v>
      </c>
      <c r="I420" s="89">
        <f t="shared" ca="1" si="6"/>
        <v>0</v>
      </c>
      <c r="J420" s="89">
        <f t="shared" ca="1" si="6"/>
        <v>1</v>
      </c>
    </row>
    <row r="421" spans="8:10" x14ac:dyDescent="0.3">
      <c r="H421" s="89">
        <v>419</v>
      </c>
      <c r="I421" s="89">
        <f t="shared" ca="1" si="6"/>
        <v>0</v>
      </c>
      <c r="J421" s="89">
        <f t="shared" ca="1" si="6"/>
        <v>0</v>
      </c>
    </row>
    <row r="422" spans="8:10" x14ac:dyDescent="0.3">
      <c r="H422" s="89">
        <v>420</v>
      </c>
      <c r="I422" s="89">
        <f t="shared" ca="1" si="6"/>
        <v>1</v>
      </c>
      <c r="J422" s="89">
        <f t="shared" ca="1" si="6"/>
        <v>0</v>
      </c>
    </row>
    <row r="423" spans="8:10" x14ac:dyDescent="0.3">
      <c r="H423" s="89">
        <v>421</v>
      </c>
      <c r="I423" s="89">
        <f t="shared" ca="1" si="6"/>
        <v>1</v>
      </c>
      <c r="J423" s="89">
        <f t="shared" ca="1" si="6"/>
        <v>0</v>
      </c>
    </row>
    <row r="424" spans="8:10" x14ac:dyDescent="0.3">
      <c r="H424" s="89">
        <v>422</v>
      </c>
      <c r="I424" s="89">
        <f t="shared" ca="1" si="6"/>
        <v>1</v>
      </c>
      <c r="J424" s="89">
        <f t="shared" ca="1" si="6"/>
        <v>1</v>
      </c>
    </row>
    <row r="425" spans="8:10" x14ac:dyDescent="0.3">
      <c r="H425" s="89">
        <v>423</v>
      </c>
      <c r="I425" s="89">
        <f t="shared" ca="1" si="6"/>
        <v>0</v>
      </c>
      <c r="J425" s="89">
        <f t="shared" ca="1" si="6"/>
        <v>0</v>
      </c>
    </row>
    <row r="426" spans="8:10" x14ac:dyDescent="0.3">
      <c r="H426" s="89">
        <v>424</v>
      </c>
      <c r="I426" s="89">
        <f t="shared" ca="1" si="6"/>
        <v>0</v>
      </c>
      <c r="J426" s="89">
        <f t="shared" ca="1" si="6"/>
        <v>0</v>
      </c>
    </row>
    <row r="427" spans="8:10" x14ac:dyDescent="0.3">
      <c r="H427" s="89">
        <v>425</v>
      </c>
      <c r="I427" s="89">
        <f t="shared" ca="1" si="6"/>
        <v>0</v>
      </c>
      <c r="J427" s="89">
        <f t="shared" ca="1" si="6"/>
        <v>0</v>
      </c>
    </row>
    <row r="428" spans="8:10" x14ac:dyDescent="0.3">
      <c r="H428" s="89">
        <v>426</v>
      </c>
      <c r="I428" s="89">
        <f t="shared" ca="1" si="6"/>
        <v>1</v>
      </c>
      <c r="J428" s="89">
        <f t="shared" ca="1" si="6"/>
        <v>1</v>
      </c>
    </row>
    <row r="429" spans="8:10" x14ac:dyDescent="0.3">
      <c r="H429" s="89">
        <v>427</v>
      </c>
      <c r="I429" s="89">
        <f t="shared" ca="1" si="6"/>
        <v>0</v>
      </c>
      <c r="J429" s="89">
        <f t="shared" ca="1" si="6"/>
        <v>1</v>
      </c>
    </row>
    <row r="430" spans="8:10" x14ac:dyDescent="0.3">
      <c r="H430" s="89">
        <v>428</v>
      </c>
      <c r="I430" s="89">
        <f t="shared" ca="1" si="6"/>
        <v>0</v>
      </c>
      <c r="J430" s="89">
        <f t="shared" ca="1" si="6"/>
        <v>1</v>
      </c>
    </row>
    <row r="431" spans="8:10" x14ac:dyDescent="0.3">
      <c r="H431" s="89">
        <v>429</v>
      </c>
      <c r="I431" s="89">
        <f t="shared" ca="1" si="6"/>
        <v>1</v>
      </c>
      <c r="J431" s="89">
        <f t="shared" ca="1" si="6"/>
        <v>1</v>
      </c>
    </row>
    <row r="432" spans="8:10" x14ac:dyDescent="0.3">
      <c r="H432" s="89">
        <v>430</v>
      </c>
      <c r="I432" s="89">
        <f t="shared" ca="1" si="6"/>
        <v>0</v>
      </c>
      <c r="J432" s="89">
        <f t="shared" ca="1" si="6"/>
        <v>0</v>
      </c>
    </row>
    <row r="433" spans="8:10" x14ac:dyDescent="0.3">
      <c r="H433" s="89">
        <v>431</v>
      </c>
      <c r="I433" s="89">
        <f t="shared" ca="1" si="6"/>
        <v>0</v>
      </c>
      <c r="J433" s="89">
        <f t="shared" ca="1" si="6"/>
        <v>1</v>
      </c>
    </row>
    <row r="434" spans="8:10" x14ac:dyDescent="0.3">
      <c r="H434" s="89">
        <v>432</v>
      </c>
      <c r="I434" s="89">
        <f t="shared" ca="1" si="6"/>
        <v>0</v>
      </c>
      <c r="J434" s="89">
        <f t="shared" ca="1" si="6"/>
        <v>1</v>
      </c>
    </row>
    <row r="435" spans="8:10" x14ac:dyDescent="0.3">
      <c r="H435" s="89">
        <v>433</v>
      </c>
      <c r="I435" s="89">
        <f t="shared" ca="1" si="6"/>
        <v>1</v>
      </c>
      <c r="J435" s="89">
        <f t="shared" ca="1" si="6"/>
        <v>1</v>
      </c>
    </row>
    <row r="436" spans="8:10" x14ac:dyDescent="0.3">
      <c r="H436" s="89">
        <v>434</v>
      </c>
      <c r="I436" s="89">
        <f t="shared" ca="1" si="6"/>
        <v>1</v>
      </c>
      <c r="J436" s="89">
        <f t="shared" ca="1" si="6"/>
        <v>0</v>
      </c>
    </row>
    <row r="437" spans="8:10" x14ac:dyDescent="0.3">
      <c r="H437" s="89">
        <v>435</v>
      </c>
      <c r="I437" s="89">
        <f t="shared" ca="1" si="6"/>
        <v>0</v>
      </c>
      <c r="J437" s="89">
        <f t="shared" ca="1" si="6"/>
        <v>0</v>
      </c>
    </row>
    <row r="438" spans="8:10" x14ac:dyDescent="0.3">
      <c r="H438" s="89">
        <v>436</v>
      </c>
      <c r="I438" s="89">
        <f t="shared" ca="1" si="6"/>
        <v>1</v>
      </c>
      <c r="J438" s="89">
        <f t="shared" ca="1" si="6"/>
        <v>0</v>
      </c>
    </row>
    <row r="439" spans="8:10" x14ac:dyDescent="0.3">
      <c r="H439" s="89">
        <v>437</v>
      </c>
      <c r="I439" s="89">
        <f t="shared" ca="1" si="6"/>
        <v>0</v>
      </c>
      <c r="J439" s="89">
        <f t="shared" ca="1" si="6"/>
        <v>0</v>
      </c>
    </row>
    <row r="440" spans="8:10" x14ac:dyDescent="0.3">
      <c r="H440" s="89">
        <v>438</v>
      </c>
      <c r="I440" s="89">
        <f t="shared" ca="1" si="6"/>
        <v>0</v>
      </c>
      <c r="J440" s="89">
        <f t="shared" ca="1" si="6"/>
        <v>0</v>
      </c>
    </row>
    <row r="441" spans="8:10" x14ac:dyDescent="0.3">
      <c r="H441" s="89">
        <v>439</v>
      </c>
      <c r="I441" s="89">
        <f t="shared" ca="1" si="6"/>
        <v>1</v>
      </c>
      <c r="J441" s="89">
        <f t="shared" ca="1" si="6"/>
        <v>0</v>
      </c>
    </row>
    <row r="442" spans="8:10" x14ac:dyDescent="0.3">
      <c r="H442" s="89">
        <v>440</v>
      </c>
      <c r="I442" s="89">
        <f t="shared" ca="1" si="6"/>
        <v>1</v>
      </c>
      <c r="J442" s="89">
        <f t="shared" ca="1" si="6"/>
        <v>1</v>
      </c>
    </row>
    <row r="443" spans="8:10" x14ac:dyDescent="0.3">
      <c r="H443" s="89">
        <v>441</v>
      </c>
      <c r="I443" s="89">
        <f t="shared" ca="1" si="6"/>
        <v>1</v>
      </c>
      <c r="J443" s="89">
        <f t="shared" ca="1" si="6"/>
        <v>0</v>
      </c>
    </row>
    <row r="444" spans="8:10" x14ac:dyDescent="0.3">
      <c r="H444" s="89">
        <v>442</v>
      </c>
      <c r="I444" s="89">
        <f t="shared" ca="1" si="6"/>
        <v>0</v>
      </c>
      <c r="J444" s="89">
        <f t="shared" ca="1" si="6"/>
        <v>0</v>
      </c>
    </row>
    <row r="445" spans="8:10" x14ac:dyDescent="0.3">
      <c r="H445" s="89">
        <v>443</v>
      </c>
      <c r="I445" s="89">
        <f t="shared" ca="1" si="6"/>
        <v>0</v>
      </c>
      <c r="J445" s="89">
        <f t="shared" ca="1" si="6"/>
        <v>0</v>
      </c>
    </row>
    <row r="446" spans="8:10" x14ac:dyDescent="0.3">
      <c r="H446" s="89">
        <v>444</v>
      </c>
      <c r="I446" s="89">
        <f t="shared" ca="1" si="6"/>
        <v>0</v>
      </c>
      <c r="J446" s="89">
        <f t="shared" ca="1" si="6"/>
        <v>1</v>
      </c>
    </row>
    <row r="447" spans="8:10" x14ac:dyDescent="0.3">
      <c r="H447" s="89">
        <v>445</v>
      </c>
      <c r="I447" s="89">
        <f t="shared" ca="1" si="6"/>
        <v>0</v>
      </c>
      <c r="J447" s="89">
        <f t="shared" ca="1" si="6"/>
        <v>1</v>
      </c>
    </row>
    <row r="448" spans="8:10" x14ac:dyDescent="0.3">
      <c r="H448" s="89">
        <v>446</v>
      </c>
      <c r="I448" s="89">
        <f t="shared" ca="1" si="6"/>
        <v>0</v>
      </c>
      <c r="J448" s="89">
        <f t="shared" ca="1" si="6"/>
        <v>1</v>
      </c>
    </row>
    <row r="449" spans="8:10" x14ac:dyDescent="0.3">
      <c r="H449" s="89">
        <v>447</v>
      </c>
      <c r="I449" s="89">
        <f t="shared" ca="1" si="6"/>
        <v>0</v>
      </c>
      <c r="J449" s="89">
        <f t="shared" ca="1" si="6"/>
        <v>1</v>
      </c>
    </row>
    <row r="450" spans="8:10" x14ac:dyDescent="0.3">
      <c r="H450" s="89">
        <v>448</v>
      </c>
      <c r="I450" s="89">
        <f t="shared" ca="1" si="6"/>
        <v>0</v>
      </c>
      <c r="J450" s="89">
        <f t="shared" ca="1" si="6"/>
        <v>0</v>
      </c>
    </row>
    <row r="451" spans="8:10" x14ac:dyDescent="0.3">
      <c r="H451" s="89">
        <v>449</v>
      </c>
      <c r="I451" s="89">
        <f t="shared" ca="1" si="6"/>
        <v>0</v>
      </c>
      <c r="J451" s="89">
        <f t="shared" ca="1" si="6"/>
        <v>1</v>
      </c>
    </row>
    <row r="452" spans="8:10" x14ac:dyDescent="0.3">
      <c r="H452" s="89">
        <v>450</v>
      </c>
      <c r="I452" s="89">
        <f t="shared" ref="I452:J515" ca="1" si="7">RANDBETWEEN(0,1)</f>
        <v>0</v>
      </c>
      <c r="J452" s="89">
        <f t="shared" ca="1" si="7"/>
        <v>0</v>
      </c>
    </row>
    <row r="453" spans="8:10" x14ac:dyDescent="0.3">
      <c r="H453" s="89">
        <v>451</v>
      </c>
      <c r="I453" s="89">
        <f t="shared" ca="1" si="7"/>
        <v>1</v>
      </c>
      <c r="J453" s="89">
        <f t="shared" ca="1" si="7"/>
        <v>0</v>
      </c>
    </row>
    <row r="454" spans="8:10" x14ac:dyDescent="0.3">
      <c r="H454" s="89">
        <v>452</v>
      </c>
      <c r="I454" s="89">
        <f t="shared" ca="1" si="7"/>
        <v>0</v>
      </c>
      <c r="J454" s="89">
        <f t="shared" ca="1" si="7"/>
        <v>1</v>
      </c>
    </row>
    <row r="455" spans="8:10" x14ac:dyDescent="0.3">
      <c r="H455" s="89">
        <v>453</v>
      </c>
      <c r="I455" s="89">
        <f t="shared" ca="1" si="7"/>
        <v>0</v>
      </c>
      <c r="J455" s="89">
        <f t="shared" ca="1" si="7"/>
        <v>1</v>
      </c>
    </row>
    <row r="456" spans="8:10" x14ac:dyDescent="0.3">
      <c r="H456" s="89">
        <v>454</v>
      </c>
      <c r="I456" s="89">
        <f t="shared" ca="1" si="7"/>
        <v>1</v>
      </c>
      <c r="J456" s="89">
        <f t="shared" ca="1" si="7"/>
        <v>1</v>
      </c>
    </row>
    <row r="457" spans="8:10" x14ac:dyDescent="0.3">
      <c r="H457" s="89">
        <v>455</v>
      </c>
      <c r="I457" s="89">
        <f t="shared" ca="1" si="7"/>
        <v>1</v>
      </c>
      <c r="J457" s="89">
        <f t="shared" ca="1" si="7"/>
        <v>0</v>
      </c>
    </row>
    <row r="458" spans="8:10" x14ac:dyDescent="0.3">
      <c r="H458" s="89">
        <v>456</v>
      </c>
      <c r="I458" s="89">
        <f t="shared" ca="1" si="7"/>
        <v>1</v>
      </c>
      <c r="J458" s="89">
        <f t="shared" ca="1" si="7"/>
        <v>1</v>
      </c>
    </row>
    <row r="459" spans="8:10" x14ac:dyDescent="0.3">
      <c r="H459" s="89">
        <v>457</v>
      </c>
      <c r="I459" s="89">
        <f t="shared" ca="1" si="7"/>
        <v>0</v>
      </c>
      <c r="J459" s="89">
        <f t="shared" ca="1" si="7"/>
        <v>0</v>
      </c>
    </row>
    <row r="460" spans="8:10" x14ac:dyDescent="0.3">
      <c r="H460" s="89">
        <v>458</v>
      </c>
      <c r="I460" s="89">
        <f t="shared" ca="1" si="7"/>
        <v>0</v>
      </c>
      <c r="J460" s="89">
        <f t="shared" ca="1" si="7"/>
        <v>0</v>
      </c>
    </row>
    <row r="461" spans="8:10" x14ac:dyDescent="0.3">
      <c r="H461" s="89">
        <v>459</v>
      </c>
      <c r="I461" s="89">
        <f t="shared" ca="1" si="7"/>
        <v>1</v>
      </c>
      <c r="J461" s="89">
        <f t="shared" ca="1" si="7"/>
        <v>1</v>
      </c>
    </row>
    <row r="462" spans="8:10" x14ac:dyDescent="0.3">
      <c r="H462" s="89">
        <v>460</v>
      </c>
      <c r="I462" s="89">
        <f t="shared" ca="1" si="7"/>
        <v>0</v>
      </c>
      <c r="J462" s="89">
        <f t="shared" ca="1" si="7"/>
        <v>0</v>
      </c>
    </row>
    <row r="463" spans="8:10" x14ac:dyDescent="0.3">
      <c r="H463" s="89">
        <v>461</v>
      </c>
      <c r="I463" s="89">
        <f t="shared" ca="1" si="7"/>
        <v>0</v>
      </c>
      <c r="J463" s="89">
        <f t="shared" ca="1" si="7"/>
        <v>0</v>
      </c>
    </row>
    <row r="464" spans="8:10" x14ac:dyDescent="0.3">
      <c r="H464" s="89">
        <v>462</v>
      </c>
      <c r="I464" s="89">
        <f t="shared" ca="1" si="7"/>
        <v>1</v>
      </c>
      <c r="J464" s="89">
        <f t="shared" ca="1" si="7"/>
        <v>0</v>
      </c>
    </row>
    <row r="465" spans="8:10" x14ac:dyDescent="0.3">
      <c r="H465" s="89">
        <v>463</v>
      </c>
      <c r="I465" s="89">
        <f t="shared" ca="1" si="7"/>
        <v>0</v>
      </c>
      <c r="J465" s="89">
        <f t="shared" ca="1" si="7"/>
        <v>1</v>
      </c>
    </row>
    <row r="466" spans="8:10" x14ac:dyDescent="0.3">
      <c r="H466" s="89">
        <v>464</v>
      </c>
      <c r="I466" s="89">
        <f t="shared" ca="1" si="7"/>
        <v>1</v>
      </c>
      <c r="J466" s="89">
        <f t="shared" ca="1" si="7"/>
        <v>0</v>
      </c>
    </row>
    <row r="467" spans="8:10" x14ac:dyDescent="0.3">
      <c r="H467" s="89">
        <v>465</v>
      </c>
      <c r="I467" s="89">
        <f t="shared" ca="1" si="7"/>
        <v>1</v>
      </c>
      <c r="J467" s="89">
        <f t="shared" ca="1" si="7"/>
        <v>0</v>
      </c>
    </row>
    <row r="468" spans="8:10" x14ac:dyDescent="0.3">
      <c r="H468" s="89">
        <v>466</v>
      </c>
      <c r="I468" s="89">
        <f t="shared" ca="1" si="7"/>
        <v>0</v>
      </c>
      <c r="J468" s="89">
        <f t="shared" ca="1" si="7"/>
        <v>0</v>
      </c>
    </row>
    <row r="469" spans="8:10" x14ac:dyDescent="0.3">
      <c r="H469" s="89">
        <v>467</v>
      </c>
      <c r="I469" s="89">
        <f t="shared" ca="1" si="7"/>
        <v>0</v>
      </c>
      <c r="J469" s="89">
        <f t="shared" ca="1" si="7"/>
        <v>0</v>
      </c>
    </row>
    <row r="470" spans="8:10" x14ac:dyDescent="0.3">
      <c r="H470" s="89">
        <v>468</v>
      </c>
      <c r="I470" s="89">
        <f t="shared" ca="1" si="7"/>
        <v>0</v>
      </c>
      <c r="J470" s="89">
        <f t="shared" ca="1" si="7"/>
        <v>0</v>
      </c>
    </row>
    <row r="471" spans="8:10" x14ac:dyDescent="0.3">
      <c r="H471" s="89">
        <v>469</v>
      </c>
      <c r="I471" s="89">
        <f t="shared" ca="1" si="7"/>
        <v>1</v>
      </c>
      <c r="J471" s="89">
        <f t="shared" ca="1" si="7"/>
        <v>0</v>
      </c>
    </row>
    <row r="472" spans="8:10" x14ac:dyDescent="0.3">
      <c r="H472" s="89">
        <v>470</v>
      </c>
      <c r="I472" s="89">
        <f t="shared" ca="1" si="7"/>
        <v>0</v>
      </c>
      <c r="J472" s="89">
        <f t="shared" ca="1" si="7"/>
        <v>1</v>
      </c>
    </row>
    <row r="473" spans="8:10" x14ac:dyDescent="0.3">
      <c r="H473" s="89">
        <v>471</v>
      </c>
      <c r="I473" s="89">
        <f t="shared" ca="1" si="7"/>
        <v>1</v>
      </c>
      <c r="J473" s="89">
        <f t="shared" ca="1" si="7"/>
        <v>0</v>
      </c>
    </row>
    <row r="474" spans="8:10" x14ac:dyDescent="0.3">
      <c r="H474" s="89">
        <v>472</v>
      </c>
      <c r="I474" s="89">
        <f t="shared" ca="1" si="7"/>
        <v>0</v>
      </c>
      <c r="J474" s="89">
        <f t="shared" ca="1" si="7"/>
        <v>0</v>
      </c>
    </row>
    <row r="475" spans="8:10" x14ac:dyDescent="0.3">
      <c r="H475" s="89">
        <v>473</v>
      </c>
      <c r="I475" s="89">
        <f t="shared" ca="1" si="7"/>
        <v>1</v>
      </c>
      <c r="J475" s="89">
        <f t="shared" ca="1" si="7"/>
        <v>1</v>
      </c>
    </row>
    <row r="476" spans="8:10" x14ac:dyDescent="0.3">
      <c r="H476" s="89">
        <v>474</v>
      </c>
      <c r="I476" s="89">
        <f t="shared" ca="1" si="7"/>
        <v>0</v>
      </c>
      <c r="J476" s="89">
        <f t="shared" ca="1" si="7"/>
        <v>1</v>
      </c>
    </row>
    <row r="477" spans="8:10" x14ac:dyDescent="0.3">
      <c r="H477" s="89">
        <v>475</v>
      </c>
      <c r="I477" s="89">
        <f t="shared" ca="1" si="7"/>
        <v>0</v>
      </c>
      <c r="J477" s="89">
        <f t="shared" ca="1" si="7"/>
        <v>0</v>
      </c>
    </row>
    <row r="478" spans="8:10" x14ac:dyDescent="0.3">
      <c r="H478" s="89">
        <v>476</v>
      </c>
      <c r="I478" s="89">
        <f t="shared" ca="1" si="7"/>
        <v>1</v>
      </c>
      <c r="J478" s="89">
        <f t="shared" ca="1" si="7"/>
        <v>1</v>
      </c>
    </row>
    <row r="479" spans="8:10" x14ac:dyDescent="0.3">
      <c r="H479" s="89">
        <v>477</v>
      </c>
      <c r="I479" s="89">
        <f t="shared" ca="1" si="7"/>
        <v>0</v>
      </c>
      <c r="J479" s="89">
        <f t="shared" ca="1" si="7"/>
        <v>1</v>
      </c>
    </row>
    <row r="480" spans="8:10" x14ac:dyDescent="0.3">
      <c r="H480" s="89">
        <v>478</v>
      </c>
      <c r="I480" s="89">
        <f t="shared" ca="1" si="7"/>
        <v>0</v>
      </c>
      <c r="J480" s="89">
        <f t="shared" ca="1" si="7"/>
        <v>1</v>
      </c>
    </row>
    <row r="481" spans="8:10" x14ac:dyDescent="0.3">
      <c r="H481" s="89">
        <v>479</v>
      </c>
      <c r="I481" s="89">
        <f t="shared" ca="1" si="7"/>
        <v>0</v>
      </c>
      <c r="J481" s="89">
        <f t="shared" ca="1" si="7"/>
        <v>0</v>
      </c>
    </row>
    <row r="482" spans="8:10" x14ac:dyDescent="0.3">
      <c r="H482" s="89">
        <v>480</v>
      </c>
      <c r="I482" s="89">
        <f t="shared" ca="1" si="7"/>
        <v>0</v>
      </c>
      <c r="J482" s="89">
        <f t="shared" ca="1" si="7"/>
        <v>1</v>
      </c>
    </row>
    <row r="483" spans="8:10" x14ac:dyDescent="0.3">
      <c r="H483" s="89">
        <v>481</v>
      </c>
      <c r="I483" s="89">
        <f t="shared" ca="1" si="7"/>
        <v>1</v>
      </c>
      <c r="J483" s="89">
        <f t="shared" ca="1" si="7"/>
        <v>1</v>
      </c>
    </row>
    <row r="484" spans="8:10" x14ac:dyDescent="0.3">
      <c r="H484" s="89">
        <v>482</v>
      </c>
      <c r="I484" s="89">
        <f t="shared" ca="1" si="7"/>
        <v>0</v>
      </c>
      <c r="J484" s="89">
        <f t="shared" ca="1" si="7"/>
        <v>0</v>
      </c>
    </row>
    <row r="485" spans="8:10" x14ac:dyDescent="0.3">
      <c r="H485" s="89">
        <v>483</v>
      </c>
      <c r="I485" s="89">
        <f t="shared" ca="1" si="7"/>
        <v>1</v>
      </c>
      <c r="J485" s="89">
        <f t="shared" ca="1" si="7"/>
        <v>0</v>
      </c>
    </row>
    <row r="486" spans="8:10" x14ac:dyDescent="0.3">
      <c r="H486" s="89">
        <v>484</v>
      </c>
      <c r="I486" s="89">
        <f t="shared" ca="1" si="7"/>
        <v>1</v>
      </c>
      <c r="J486" s="89">
        <f t="shared" ca="1" si="7"/>
        <v>0</v>
      </c>
    </row>
    <row r="487" spans="8:10" x14ac:dyDescent="0.3">
      <c r="H487" s="89">
        <v>485</v>
      </c>
      <c r="I487" s="89">
        <f t="shared" ca="1" si="7"/>
        <v>0</v>
      </c>
      <c r="J487" s="89">
        <f t="shared" ca="1" si="7"/>
        <v>1</v>
      </c>
    </row>
    <row r="488" spans="8:10" x14ac:dyDescent="0.3">
      <c r="H488" s="89">
        <v>486</v>
      </c>
      <c r="I488" s="89">
        <f t="shared" ca="1" si="7"/>
        <v>0</v>
      </c>
      <c r="J488" s="89">
        <f t="shared" ca="1" si="7"/>
        <v>1</v>
      </c>
    </row>
    <row r="489" spans="8:10" x14ac:dyDescent="0.3">
      <c r="H489" s="89">
        <v>487</v>
      </c>
      <c r="I489" s="89">
        <f t="shared" ca="1" si="7"/>
        <v>0</v>
      </c>
      <c r="J489" s="89">
        <f t="shared" ca="1" si="7"/>
        <v>1</v>
      </c>
    </row>
    <row r="490" spans="8:10" x14ac:dyDescent="0.3">
      <c r="H490" s="89">
        <v>488</v>
      </c>
      <c r="I490" s="89">
        <f t="shared" ca="1" si="7"/>
        <v>1</v>
      </c>
      <c r="J490" s="89">
        <f t="shared" ca="1" si="7"/>
        <v>0</v>
      </c>
    </row>
    <row r="491" spans="8:10" x14ac:dyDescent="0.3">
      <c r="H491" s="89">
        <v>489</v>
      </c>
      <c r="I491" s="89">
        <f t="shared" ca="1" si="7"/>
        <v>1</v>
      </c>
      <c r="J491" s="89">
        <f t="shared" ca="1" si="7"/>
        <v>0</v>
      </c>
    </row>
    <row r="492" spans="8:10" x14ac:dyDescent="0.3">
      <c r="H492" s="89">
        <v>490</v>
      </c>
      <c r="I492" s="89">
        <f t="shared" ca="1" si="7"/>
        <v>1</v>
      </c>
      <c r="J492" s="89">
        <f t="shared" ca="1" si="7"/>
        <v>1</v>
      </c>
    </row>
    <row r="493" spans="8:10" x14ac:dyDescent="0.3">
      <c r="H493" s="89">
        <v>491</v>
      </c>
      <c r="I493" s="89">
        <f t="shared" ca="1" si="7"/>
        <v>0</v>
      </c>
      <c r="J493" s="89">
        <f t="shared" ca="1" si="7"/>
        <v>1</v>
      </c>
    </row>
    <row r="494" spans="8:10" x14ac:dyDescent="0.3">
      <c r="H494" s="89">
        <v>492</v>
      </c>
      <c r="I494" s="89">
        <f t="shared" ca="1" si="7"/>
        <v>0</v>
      </c>
      <c r="J494" s="89">
        <f t="shared" ca="1" si="7"/>
        <v>0</v>
      </c>
    </row>
    <row r="495" spans="8:10" x14ac:dyDescent="0.3">
      <c r="H495" s="89">
        <v>493</v>
      </c>
      <c r="I495" s="89">
        <f t="shared" ca="1" si="7"/>
        <v>1</v>
      </c>
      <c r="J495" s="89">
        <f t="shared" ca="1" si="7"/>
        <v>0</v>
      </c>
    </row>
    <row r="496" spans="8:10" x14ac:dyDescent="0.3">
      <c r="H496" s="89">
        <v>494</v>
      </c>
      <c r="I496" s="89">
        <f t="shared" ca="1" si="7"/>
        <v>0</v>
      </c>
      <c r="J496" s="89">
        <f t="shared" ca="1" si="7"/>
        <v>0</v>
      </c>
    </row>
    <row r="497" spans="8:10" x14ac:dyDescent="0.3">
      <c r="H497" s="89">
        <v>495</v>
      </c>
      <c r="I497" s="89">
        <f t="shared" ca="1" si="7"/>
        <v>0</v>
      </c>
      <c r="J497" s="89">
        <f t="shared" ca="1" si="7"/>
        <v>1</v>
      </c>
    </row>
    <row r="498" spans="8:10" x14ac:dyDescent="0.3">
      <c r="H498" s="89">
        <v>496</v>
      </c>
      <c r="I498" s="89">
        <f t="shared" ca="1" si="7"/>
        <v>0</v>
      </c>
      <c r="J498" s="89">
        <f t="shared" ca="1" si="7"/>
        <v>1</v>
      </c>
    </row>
    <row r="499" spans="8:10" x14ac:dyDescent="0.3">
      <c r="H499" s="89">
        <v>497</v>
      </c>
      <c r="I499" s="89">
        <f t="shared" ca="1" si="7"/>
        <v>0</v>
      </c>
      <c r="J499" s="89">
        <f t="shared" ca="1" si="7"/>
        <v>1</v>
      </c>
    </row>
    <row r="500" spans="8:10" x14ac:dyDescent="0.3">
      <c r="H500" s="89">
        <v>498</v>
      </c>
      <c r="I500" s="89">
        <f t="shared" ca="1" si="7"/>
        <v>1</v>
      </c>
      <c r="J500" s="89">
        <f t="shared" ca="1" si="7"/>
        <v>1</v>
      </c>
    </row>
    <row r="501" spans="8:10" x14ac:dyDescent="0.3">
      <c r="H501" s="89">
        <v>499</v>
      </c>
      <c r="I501" s="89">
        <f t="shared" ca="1" si="7"/>
        <v>0</v>
      </c>
      <c r="J501" s="89">
        <f t="shared" ca="1" si="7"/>
        <v>0</v>
      </c>
    </row>
    <row r="502" spans="8:10" x14ac:dyDescent="0.3">
      <c r="H502" s="89">
        <v>500</v>
      </c>
      <c r="I502" s="89">
        <f t="shared" ca="1" si="7"/>
        <v>1</v>
      </c>
      <c r="J502" s="89">
        <f t="shared" ca="1" si="7"/>
        <v>1</v>
      </c>
    </row>
    <row r="503" spans="8:10" x14ac:dyDescent="0.3">
      <c r="H503" s="89">
        <v>501</v>
      </c>
      <c r="I503" s="89">
        <f t="shared" ca="1" si="7"/>
        <v>0</v>
      </c>
      <c r="J503" s="89">
        <f t="shared" ca="1" si="7"/>
        <v>0</v>
      </c>
    </row>
    <row r="504" spans="8:10" x14ac:dyDescent="0.3">
      <c r="H504" s="89">
        <v>502</v>
      </c>
      <c r="I504" s="89">
        <f t="shared" ca="1" si="7"/>
        <v>1</v>
      </c>
      <c r="J504" s="89">
        <f t="shared" ca="1" si="7"/>
        <v>1</v>
      </c>
    </row>
    <row r="505" spans="8:10" x14ac:dyDescent="0.3">
      <c r="H505" s="89">
        <v>503</v>
      </c>
      <c r="I505" s="89">
        <f t="shared" ca="1" si="7"/>
        <v>1</v>
      </c>
      <c r="J505" s="89">
        <f t="shared" ca="1" si="7"/>
        <v>0</v>
      </c>
    </row>
    <row r="506" spans="8:10" x14ac:dyDescent="0.3">
      <c r="H506" s="89">
        <v>504</v>
      </c>
      <c r="I506" s="89">
        <f t="shared" ca="1" si="7"/>
        <v>1</v>
      </c>
      <c r="J506" s="89">
        <f t="shared" ca="1" si="7"/>
        <v>0</v>
      </c>
    </row>
    <row r="507" spans="8:10" x14ac:dyDescent="0.3">
      <c r="H507" s="89">
        <v>505</v>
      </c>
      <c r="I507" s="89">
        <f t="shared" ca="1" si="7"/>
        <v>1</v>
      </c>
      <c r="J507" s="89">
        <f t="shared" ca="1" si="7"/>
        <v>0</v>
      </c>
    </row>
    <row r="508" spans="8:10" x14ac:dyDescent="0.3">
      <c r="H508" s="89">
        <v>506</v>
      </c>
      <c r="I508" s="89">
        <f t="shared" ca="1" si="7"/>
        <v>0</v>
      </c>
      <c r="J508" s="89">
        <f t="shared" ca="1" si="7"/>
        <v>0</v>
      </c>
    </row>
    <row r="509" spans="8:10" x14ac:dyDescent="0.3">
      <c r="H509" s="89">
        <v>507</v>
      </c>
      <c r="I509" s="89">
        <f t="shared" ca="1" si="7"/>
        <v>1</v>
      </c>
      <c r="J509" s="89">
        <f t="shared" ca="1" si="7"/>
        <v>1</v>
      </c>
    </row>
    <row r="510" spans="8:10" x14ac:dyDescent="0.3">
      <c r="H510" s="89">
        <v>508</v>
      </c>
      <c r="I510" s="89">
        <f t="shared" ca="1" si="7"/>
        <v>1</v>
      </c>
      <c r="J510" s="89">
        <f t="shared" ca="1" si="7"/>
        <v>1</v>
      </c>
    </row>
    <row r="511" spans="8:10" x14ac:dyDescent="0.3">
      <c r="H511" s="89">
        <v>509</v>
      </c>
      <c r="I511" s="89">
        <f t="shared" ca="1" si="7"/>
        <v>1</v>
      </c>
      <c r="J511" s="89">
        <f t="shared" ca="1" si="7"/>
        <v>1</v>
      </c>
    </row>
    <row r="512" spans="8:10" x14ac:dyDescent="0.3">
      <c r="H512" s="89">
        <v>510</v>
      </c>
      <c r="I512" s="89">
        <f t="shared" ca="1" si="7"/>
        <v>1</v>
      </c>
      <c r="J512" s="89">
        <f t="shared" ca="1" si="7"/>
        <v>0</v>
      </c>
    </row>
    <row r="513" spans="8:10" x14ac:dyDescent="0.3">
      <c r="H513" s="89">
        <v>511</v>
      </c>
      <c r="I513" s="89">
        <f t="shared" ca="1" si="7"/>
        <v>1</v>
      </c>
      <c r="J513" s="89">
        <f t="shared" ca="1" si="7"/>
        <v>0</v>
      </c>
    </row>
    <row r="514" spans="8:10" x14ac:dyDescent="0.3">
      <c r="H514" s="89">
        <v>512</v>
      </c>
      <c r="I514" s="89">
        <f t="shared" ca="1" si="7"/>
        <v>1</v>
      </c>
      <c r="J514" s="89">
        <f t="shared" ca="1" si="7"/>
        <v>0</v>
      </c>
    </row>
    <row r="515" spans="8:10" x14ac:dyDescent="0.3">
      <c r="H515" s="89">
        <v>513</v>
      </c>
      <c r="I515" s="89">
        <f t="shared" ca="1" si="7"/>
        <v>1</v>
      </c>
      <c r="J515" s="89">
        <f t="shared" ca="1" si="7"/>
        <v>0</v>
      </c>
    </row>
    <row r="516" spans="8:10" x14ac:dyDescent="0.3">
      <c r="H516" s="89">
        <v>514</v>
      </c>
      <c r="I516" s="89">
        <f t="shared" ref="I516:J579" ca="1" si="8">RANDBETWEEN(0,1)</f>
        <v>1</v>
      </c>
      <c r="J516" s="89">
        <f t="shared" ca="1" si="8"/>
        <v>1</v>
      </c>
    </row>
    <row r="517" spans="8:10" x14ac:dyDescent="0.3">
      <c r="H517" s="89">
        <v>515</v>
      </c>
      <c r="I517" s="89">
        <f t="shared" ca="1" si="8"/>
        <v>1</v>
      </c>
      <c r="J517" s="89">
        <f t="shared" ca="1" si="8"/>
        <v>0</v>
      </c>
    </row>
    <row r="518" spans="8:10" x14ac:dyDescent="0.3">
      <c r="H518" s="89">
        <v>516</v>
      </c>
      <c r="I518" s="89">
        <f t="shared" ca="1" si="8"/>
        <v>1</v>
      </c>
      <c r="J518" s="89">
        <f t="shared" ca="1" si="8"/>
        <v>1</v>
      </c>
    </row>
    <row r="519" spans="8:10" x14ac:dyDescent="0.3">
      <c r="H519" s="89">
        <v>517</v>
      </c>
      <c r="I519" s="89">
        <f t="shared" ca="1" si="8"/>
        <v>1</v>
      </c>
      <c r="J519" s="89">
        <f t="shared" ca="1" si="8"/>
        <v>1</v>
      </c>
    </row>
    <row r="520" spans="8:10" x14ac:dyDescent="0.3">
      <c r="H520" s="89">
        <v>518</v>
      </c>
      <c r="I520" s="89">
        <f t="shared" ca="1" si="8"/>
        <v>1</v>
      </c>
      <c r="J520" s="89">
        <f t="shared" ca="1" si="8"/>
        <v>0</v>
      </c>
    </row>
    <row r="521" spans="8:10" x14ac:dyDescent="0.3">
      <c r="H521" s="89">
        <v>519</v>
      </c>
      <c r="I521" s="89">
        <f t="shared" ca="1" si="8"/>
        <v>0</v>
      </c>
      <c r="J521" s="89">
        <f t="shared" ca="1" si="8"/>
        <v>1</v>
      </c>
    </row>
    <row r="522" spans="8:10" x14ac:dyDescent="0.3">
      <c r="H522" s="89">
        <v>520</v>
      </c>
      <c r="I522" s="89">
        <f t="shared" ca="1" si="8"/>
        <v>0</v>
      </c>
      <c r="J522" s="89">
        <f t="shared" ca="1" si="8"/>
        <v>1</v>
      </c>
    </row>
    <row r="523" spans="8:10" x14ac:dyDescent="0.3">
      <c r="H523" s="89">
        <v>521</v>
      </c>
      <c r="I523" s="89">
        <f t="shared" ca="1" si="8"/>
        <v>1</v>
      </c>
      <c r="J523" s="89">
        <f t="shared" ca="1" si="8"/>
        <v>1</v>
      </c>
    </row>
    <row r="524" spans="8:10" x14ac:dyDescent="0.3">
      <c r="H524" s="89">
        <v>522</v>
      </c>
      <c r="I524" s="89">
        <f t="shared" ca="1" si="8"/>
        <v>1</v>
      </c>
      <c r="J524" s="89">
        <f t="shared" ca="1" si="8"/>
        <v>1</v>
      </c>
    </row>
    <row r="525" spans="8:10" x14ac:dyDescent="0.3">
      <c r="H525" s="89">
        <v>523</v>
      </c>
      <c r="I525" s="89">
        <f t="shared" ca="1" si="8"/>
        <v>1</v>
      </c>
      <c r="J525" s="89">
        <f t="shared" ca="1" si="8"/>
        <v>0</v>
      </c>
    </row>
    <row r="526" spans="8:10" x14ac:dyDescent="0.3">
      <c r="H526" s="89">
        <v>524</v>
      </c>
      <c r="I526" s="89">
        <f t="shared" ca="1" si="8"/>
        <v>1</v>
      </c>
      <c r="J526" s="89">
        <f t="shared" ca="1" si="8"/>
        <v>0</v>
      </c>
    </row>
    <row r="527" spans="8:10" x14ac:dyDescent="0.3">
      <c r="H527" s="89">
        <v>525</v>
      </c>
      <c r="I527" s="89">
        <f t="shared" ca="1" si="8"/>
        <v>1</v>
      </c>
      <c r="J527" s="89">
        <f t="shared" ca="1" si="8"/>
        <v>1</v>
      </c>
    </row>
    <row r="528" spans="8:10" x14ac:dyDescent="0.3">
      <c r="H528" s="89">
        <v>526</v>
      </c>
      <c r="I528" s="89">
        <f t="shared" ca="1" si="8"/>
        <v>1</v>
      </c>
      <c r="J528" s="89">
        <f t="shared" ca="1" si="8"/>
        <v>1</v>
      </c>
    </row>
    <row r="529" spans="8:10" x14ac:dyDescent="0.3">
      <c r="H529" s="89">
        <v>527</v>
      </c>
      <c r="I529" s="89">
        <f t="shared" ca="1" si="8"/>
        <v>1</v>
      </c>
      <c r="J529" s="89">
        <f t="shared" ca="1" si="8"/>
        <v>1</v>
      </c>
    </row>
    <row r="530" spans="8:10" x14ac:dyDescent="0.3">
      <c r="H530" s="89">
        <v>528</v>
      </c>
      <c r="I530" s="89">
        <f t="shared" ca="1" si="8"/>
        <v>0</v>
      </c>
      <c r="J530" s="89">
        <f t="shared" ca="1" si="8"/>
        <v>0</v>
      </c>
    </row>
    <row r="531" spans="8:10" x14ac:dyDescent="0.3">
      <c r="H531" s="89">
        <v>529</v>
      </c>
      <c r="I531" s="89">
        <f t="shared" ca="1" si="8"/>
        <v>1</v>
      </c>
      <c r="J531" s="89">
        <f t="shared" ca="1" si="8"/>
        <v>1</v>
      </c>
    </row>
    <row r="532" spans="8:10" x14ac:dyDescent="0.3">
      <c r="H532" s="89">
        <v>530</v>
      </c>
      <c r="I532" s="89">
        <f t="shared" ca="1" si="8"/>
        <v>0</v>
      </c>
      <c r="J532" s="89">
        <f t="shared" ca="1" si="8"/>
        <v>0</v>
      </c>
    </row>
    <row r="533" spans="8:10" x14ac:dyDescent="0.3">
      <c r="H533" s="89">
        <v>531</v>
      </c>
      <c r="I533" s="89">
        <f t="shared" ca="1" si="8"/>
        <v>1</v>
      </c>
      <c r="J533" s="89">
        <f t="shared" ca="1" si="8"/>
        <v>0</v>
      </c>
    </row>
    <row r="534" spans="8:10" x14ac:dyDescent="0.3">
      <c r="H534" s="89">
        <v>532</v>
      </c>
      <c r="I534" s="89">
        <f t="shared" ca="1" si="8"/>
        <v>0</v>
      </c>
      <c r="J534" s="89">
        <f t="shared" ca="1" si="8"/>
        <v>0</v>
      </c>
    </row>
    <row r="535" spans="8:10" x14ac:dyDescent="0.3">
      <c r="H535" s="89">
        <v>533</v>
      </c>
      <c r="I535" s="89">
        <f t="shared" ca="1" si="8"/>
        <v>1</v>
      </c>
      <c r="J535" s="89">
        <f t="shared" ca="1" si="8"/>
        <v>1</v>
      </c>
    </row>
    <row r="536" spans="8:10" x14ac:dyDescent="0.3">
      <c r="H536" s="89">
        <v>534</v>
      </c>
      <c r="I536" s="89">
        <f t="shared" ca="1" si="8"/>
        <v>1</v>
      </c>
      <c r="J536" s="89">
        <f t="shared" ca="1" si="8"/>
        <v>1</v>
      </c>
    </row>
    <row r="537" spans="8:10" x14ac:dyDescent="0.3">
      <c r="H537" s="89">
        <v>535</v>
      </c>
      <c r="I537" s="89">
        <f t="shared" ca="1" si="8"/>
        <v>0</v>
      </c>
      <c r="J537" s="89">
        <f t="shared" ca="1" si="8"/>
        <v>0</v>
      </c>
    </row>
    <row r="538" spans="8:10" x14ac:dyDescent="0.3">
      <c r="H538" s="89">
        <v>536</v>
      </c>
      <c r="I538" s="89">
        <f t="shared" ca="1" si="8"/>
        <v>0</v>
      </c>
      <c r="J538" s="89">
        <f t="shared" ca="1" si="8"/>
        <v>0</v>
      </c>
    </row>
    <row r="539" spans="8:10" x14ac:dyDescent="0.3">
      <c r="H539" s="89">
        <v>537</v>
      </c>
      <c r="I539" s="89">
        <f t="shared" ca="1" si="8"/>
        <v>1</v>
      </c>
      <c r="J539" s="89">
        <f t="shared" ca="1" si="8"/>
        <v>0</v>
      </c>
    </row>
    <row r="540" spans="8:10" x14ac:dyDescent="0.3">
      <c r="H540" s="89">
        <v>538</v>
      </c>
      <c r="I540" s="89">
        <f t="shared" ca="1" si="8"/>
        <v>0</v>
      </c>
      <c r="J540" s="89">
        <f t="shared" ca="1" si="8"/>
        <v>1</v>
      </c>
    </row>
    <row r="541" spans="8:10" x14ac:dyDescent="0.3">
      <c r="H541" s="89">
        <v>539</v>
      </c>
      <c r="I541" s="89">
        <f t="shared" ca="1" si="8"/>
        <v>1</v>
      </c>
      <c r="J541" s="89">
        <f t="shared" ca="1" si="8"/>
        <v>0</v>
      </c>
    </row>
    <row r="542" spans="8:10" x14ac:dyDescent="0.3">
      <c r="H542" s="89">
        <v>540</v>
      </c>
      <c r="I542" s="89">
        <f t="shared" ca="1" si="8"/>
        <v>0</v>
      </c>
      <c r="J542" s="89">
        <f t="shared" ca="1" si="8"/>
        <v>1</v>
      </c>
    </row>
    <row r="543" spans="8:10" x14ac:dyDescent="0.3">
      <c r="H543" s="89">
        <v>541</v>
      </c>
      <c r="I543" s="89">
        <f t="shared" ca="1" si="8"/>
        <v>0</v>
      </c>
      <c r="J543" s="89">
        <f t="shared" ca="1" si="8"/>
        <v>1</v>
      </c>
    </row>
    <row r="544" spans="8:10" x14ac:dyDescent="0.3">
      <c r="H544" s="89">
        <v>542</v>
      </c>
      <c r="I544" s="89">
        <f t="shared" ca="1" si="8"/>
        <v>1</v>
      </c>
      <c r="J544" s="89">
        <f t="shared" ca="1" si="8"/>
        <v>1</v>
      </c>
    </row>
    <row r="545" spans="8:10" x14ac:dyDescent="0.3">
      <c r="H545" s="89">
        <v>543</v>
      </c>
      <c r="I545" s="89">
        <f t="shared" ca="1" si="8"/>
        <v>1</v>
      </c>
      <c r="J545" s="89">
        <f t="shared" ca="1" si="8"/>
        <v>0</v>
      </c>
    </row>
    <row r="546" spans="8:10" x14ac:dyDescent="0.3">
      <c r="H546" s="89">
        <v>544</v>
      </c>
      <c r="I546" s="89">
        <f t="shared" ca="1" si="8"/>
        <v>0</v>
      </c>
      <c r="J546" s="89">
        <f t="shared" ca="1" si="8"/>
        <v>0</v>
      </c>
    </row>
    <row r="547" spans="8:10" x14ac:dyDescent="0.3">
      <c r="H547" s="89">
        <v>545</v>
      </c>
      <c r="I547" s="89">
        <f t="shared" ca="1" si="8"/>
        <v>1</v>
      </c>
      <c r="J547" s="89">
        <f t="shared" ca="1" si="8"/>
        <v>1</v>
      </c>
    </row>
    <row r="548" spans="8:10" x14ac:dyDescent="0.3">
      <c r="H548" s="89">
        <v>546</v>
      </c>
      <c r="I548" s="89">
        <f t="shared" ca="1" si="8"/>
        <v>1</v>
      </c>
      <c r="J548" s="89">
        <f t="shared" ca="1" si="8"/>
        <v>1</v>
      </c>
    </row>
    <row r="549" spans="8:10" x14ac:dyDescent="0.3">
      <c r="H549" s="89">
        <v>547</v>
      </c>
      <c r="I549" s="89">
        <f t="shared" ca="1" si="8"/>
        <v>1</v>
      </c>
      <c r="J549" s="89">
        <f t="shared" ca="1" si="8"/>
        <v>0</v>
      </c>
    </row>
    <row r="550" spans="8:10" x14ac:dyDescent="0.3">
      <c r="H550" s="89">
        <v>548</v>
      </c>
      <c r="I550" s="89">
        <f t="shared" ca="1" si="8"/>
        <v>0</v>
      </c>
      <c r="J550" s="89">
        <f t="shared" ca="1" si="8"/>
        <v>0</v>
      </c>
    </row>
    <row r="551" spans="8:10" x14ac:dyDescent="0.3">
      <c r="H551" s="89">
        <v>549</v>
      </c>
      <c r="I551" s="89">
        <f t="shared" ca="1" si="8"/>
        <v>0</v>
      </c>
      <c r="J551" s="89">
        <f t="shared" ca="1" si="8"/>
        <v>1</v>
      </c>
    </row>
    <row r="552" spans="8:10" x14ac:dyDescent="0.3">
      <c r="H552" s="89">
        <v>550</v>
      </c>
      <c r="I552" s="89">
        <f t="shared" ca="1" si="8"/>
        <v>1</v>
      </c>
      <c r="J552" s="89">
        <f t="shared" ca="1" si="8"/>
        <v>1</v>
      </c>
    </row>
    <row r="553" spans="8:10" x14ac:dyDescent="0.3">
      <c r="H553" s="89">
        <v>551</v>
      </c>
      <c r="I553" s="89">
        <f t="shared" ca="1" si="8"/>
        <v>0</v>
      </c>
      <c r="J553" s="89">
        <f t="shared" ca="1" si="8"/>
        <v>1</v>
      </c>
    </row>
    <row r="554" spans="8:10" x14ac:dyDescent="0.3">
      <c r="H554" s="89">
        <v>552</v>
      </c>
      <c r="I554" s="89">
        <f t="shared" ca="1" si="8"/>
        <v>1</v>
      </c>
      <c r="J554" s="89">
        <f t="shared" ca="1" si="8"/>
        <v>1</v>
      </c>
    </row>
    <row r="555" spans="8:10" x14ac:dyDescent="0.3">
      <c r="H555" s="89">
        <v>553</v>
      </c>
      <c r="I555" s="89">
        <f t="shared" ca="1" si="8"/>
        <v>0</v>
      </c>
      <c r="J555" s="89">
        <f t="shared" ca="1" si="8"/>
        <v>1</v>
      </c>
    </row>
    <row r="556" spans="8:10" x14ac:dyDescent="0.3">
      <c r="H556" s="89">
        <v>554</v>
      </c>
      <c r="I556" s="89">
        <f t="shared" ca="1" si="8"/>
        <v>0</v>
      </c>
      <c r="J556" s="89">
        <f t="shared" ca="1" si="8"/>
        <v>1</v>
      </c>
    </row>
    <row r="557" spans="8:10" x14ac:dyDescent="0.3">
      <c r="H557" s="89">
        <v>555</v>
      </c>
      <c r="I557" s="89">
        <f t="shared" ca="1" si="8"/>
        <v>0</v>
      </c>
      <c r="J557" s="89">
        <f t="shared" ca="1" si="8"/>
        <v>1</v>
      </c>
    </row>
    <row r="558" spans="8:10" x14ac:dyDescent="0.3">
      <c r="H558" s="89">
        <v>556</v>
      </c>
      <c r="I558" s="89">
        <f t="shared" ca="1" si="8"/>
        <v>1</v>
      </c>
      <c r="J558" s="89">
        <f t="shared" ca="1" si="8"/>
        <v>0</v>
      </c>
    </row>
    <row r="559" spans="8:10" x14ac:dyDescent="0.3">
      <c r="H559" s="89">
        <v>557</v>
      </c>
      <c r="I559" s="89">
        <f t="shared" ca="1" si="8"/>
        <v>1</v>
      </c>
      <c r="J559" s="89">
        <f t="shared" ca="1" si="8"/>
        <v>0</v>
      </c>
    </row>
    <row r="560" spans="8:10" x14ac:dyDescent="0.3">
      <c r="H560" s="89">
        <v>558</v>
      </c>
      <c r="I560" s="89">
        <f t="shared" ca="1" si="8"/>
        <v>0</v>
      </c>
      <c r="J560" s="89">
        <f t="shared" ca="1" si="8"/>
        <v>1</v>
      </c>
    </row>
    <row r="561" spans="8:10" x14ac:dyDescent="0.3">
      <c r="H561" s="89">
        <v>559</v>
      </c>
      <c r="I561" s="89">
        <f t="shared" ca="1" si="8"/>
        <v>0</v>
      </c>
      <c r="J561" s="89">
        <f t="shared" ca="1" si="8"/>
        <v>0</v>
      </c>
    </row>
    <row r="562" spans="8:10" x14ac:dyDescent="0.3">
      <c r="H562" s="89">
        <v>560</v>
      </c>
      <c r="I562" s="89">
        <f t="shared" ca="1" si="8"/>
        <v>1</v>
      </c>
      <c r="J562" s="89">
        <f t="shared" ca="1" si="8"/>
        <v>0</v>
      </c>
    </row>
    <row r="563" spans="8:10" x14ac:dyDescent="0.3">
      <c r="H563" s="89">
        <v>561</v>
      </c>
      <c r="I563" s="89">
        <f t="shared" ca="1" si="8"/>
        <v>1</v>
      </c>
      <c r="J563" s="89">
        <f t="shared" ca="1" si="8"/>
        <v>1</v>
      </c>
    </row>
    <row r="564" spans="8:10" x14ac:dyDescent="0.3">
      <c r="H564" s="89">
        <v>562</v>
      </c>
      <c r="I564" s="89">
        <f t="shared" ca="1" si="8"/>
        <v>0</v>
      </c>
      <c r="J564" s="89">
        <f t="shared" ca="1" si="8"/>
        <v>1</v>
      </c>
    </row>
    <row r="565" spans="8:10" x14ac:dyDescent="0.3">
      <c r="H565" s="89">
        <v>563</v>
      </c>
      <c r="I565" s="89">
        <f t="shared" ca="1" si="8"/>
        <v>1</v>
      </c>
      <c r="J565" s="89">
        <f t="shared" ca="1" si="8"/>
        <v>0</v>
      </c>
    </row>
    <row r="566" spans="8:10" x14ac:dyDescent="0.3">
      <c r="H566" s="89">
        <v>564</v>
      </c>
      <c r="I566" s="89">
        <f t="shared" ca="1" si="8"/>
        <v>1</v>
      </c>
      <c r="J566" s="89">
        <f t="shared" ca="1" si="8"/>
        <v>0</v>
      </c>
    </row>
    <row r="567" spans="8:10" x14ac:dyDescent="0.3">
      <c r="H567" s="89">
        <v>565</v>
      </c>
      <c r="I567" s="89">
        <f t="shared" ca="1" si="8"/>
        <v>0</v>
      </c>
      <c r="J567" s="89">
        <f t="shared" ca="1" si="8"/>
        <v>1</v>
      </c>
    </row>
    <row r="568" spans="8:10" x14ac:dyDescent="0.3">
      <c r="H568" s="89">
        <v>566</v>
      </c>
      <c r="I568" s="89">
        <f t="shared" ca="1" si="8"/>
        <v>1</v>
      </c>
      <c r="J568" s="89">
        <f t="shared" ca="1" si="8"/>
        <v>0</v>
      </c>
    </row>
    <row r="569" spans="8:10" x14ac:dyDescent="0.3">
      <c r="H569" s="89">
        <v>567</v>
      </c>
      <c r="I569" s="89">
        <f t="shared" ca="1" si="8"/>
        <v>0</v>
      </c>
      <c r="J569" s="89">
        <f t="shared" ca="1" si="8"/>
        <v>0</v>
      </c>
    </row>
    <row r="570" spans="8:10" x14ac:dyDescent="0.3">
      <c r="H570" s="89">
        <v>568</v>
      </c>
      <c r="I570" s="89">
        <f t="shared" ca="1" si="8"/>
        <v>1</v>
      </c>
      <c r="J570" s="89">
        <f t="shared" ca="1" si="8"/>
        <v>0</v>
      </c>
    </row>
    <row r="571" spans="8:10" x14ac:dyDescent="0.3">
      <c r="H571" s="89">
        <v>569</v>
      </c>
      <c r="I571" s="89">
        <f t="shared" ca="1" si="8"/>
        <v>1</v>
      </c>
      <c r="J571" s="89">
        <f t="shared" ca="1" si="8"/>
        <v>1</v>
      </c>
    </row>
    <row r="572" spans="8:10" x14ac:dyDescent="0.3">
      <c r="H572" s="89">
        <v>570</v>
      </c>
      <c r="I572" s="89">
        <f t="shared" ca="1" si="8"/>
        <v>1</v>
      </c>
      <c r="J572" s="89">
        <f t="shared" ca="1" si="8"/>
        <v>1</v>
      </c>
    </row>
    <row r="573" spans="8:10" x14ac:dyDescent="0.3">
      <c r="H573" s="89">
        <v>571</v>
      </c>
      <c r="I573" s="89">
        <f t="shared" ca="1" si="8"/>
        <v>1</v>
      </c>
      <c r="J573" s="89">
        <f t="shared" ca="1" si="8"/>
        <v>0</v>
      </c>
    </row>
    <row r="574" spans="8:10" x14ac:dyDescent="0.3">
      <c r="H574" s="89">
        <v>572</v>
      </c>
      <c r="I574" s="89">
        <f t="shared" ca="1" si="8"/>
        <v>0</v>
      </c>
      <c r="J574" s="89">
        <f t="shared" ca="1" si="8"/>
        <v>1</v>
      </c>
    </row>
    <row r="575" spans="8:10" x14ac:dyDescent="0.3">
      <c r="H575" s="89">
        <v>573</v>
      </c>
      <c r="I575" s="89">
        <f t="shared" ca="1" si="8"/>
        <v>0</v>
      </c>
      <c r="J575" s="89">
        <f t="shared" ca="1" si="8"/>
        <v>1</v>
      </c>
    </row>
    <row r="576" spans="8:10" x14ac:dyDescent="0.3">
      <c r="H576" s="89">
        <v>574</v>
      </c>
      <c r="I576" s="89">
        <f t="shared" ca="1" si="8"/>
        <v>0</v>
      </c>
      <c r="J576" s="89">
        <f t="shared" ca="1" si="8"/>
        <v>1</v>
      </c>
    </row>
    <row r="577" spans="8:10" x14ac:dyDescent="0.3">
      <c r="H577" s="89">
        <v>575</v>
      </c>
      <c r="I577" s="89">
        <f t="shared" ca="1" si="8"/>
        <v>0</v>
      </c>
      <c r="J577" s="89">
        <f t="shared" ca="1" si="8"/>
        <v>1</v>
      </c>
    </row>
    <row r="578" spans="8:10" x14ac:dyDescent="0.3">
      <c r="H578" s="89">
        <v>576</v>
      </c>
      <c r="I578" s="89">
        <f t="shared" ca="1" si="8"/>
        <v>1</v>
      </c>
      <c r="J578" s="89">
        <f t="shared" ca="1" si="8"/>
        <v>0</v>
      </c>
    </row>
    <row r="579" spans="8:10" x14ac:dyDescent="0.3">
      <c r="H579" s="89">
        <v>577</v>
      </c>
      <c r="I579" s="89">
        <f t="shared" ca="1" si="8"/>
        <v>1</v>
      </c>
      <c r="J579" s="89">
        <f t="shared" ca="1" si="8"/>
        <v>0</v>
      </c>
    </row>
    <row r="580" spans="8:10" x14ac:dyDescent="0.3">
      <c r="H580" s="89">
        <v>578</v>
      </c>
      <c r="I580" s="89">
        <f t="shared" ref="I580:J643" ca="1" si="9">RANDBETWEEN(0,1)</f>
        <v>1</v>
      </c>
      <c r="J580" s="89">
        <f t="shared" ca="1" si="9"/>
        <v>1</v>
      </c>
    </row>
    <row r="581" spans="8:10" x14ac:dyDescent="0.3">
      <c r="H581" s="89">
        <v>579</v>
      </c>
      <c r="I581" s="89">
        <f t="shared" ca="1" si="9"/>
        <v>0</v>
      </c>
      <c r="J581" s="89">
        <f t="shared" ca="1" si="9"/>
        <v>0</v>
      </c>
    </row>
    <row r="582" spans="8:10" x14ac:dyDescent="0.3">
      <c r="H582" s="89">
        <v>580</v>
      </c>
      <c r="I582" s="89">
        <f t="shared" ca="1" si="9"/>
        <v>0</v>
      </c>
      <c r="J582" s="89">
        <f t="shared" ca="1" si="9"/>
        <v>1</v>
      </c>
    </row>
    <row r="583" spans="8:10" x14ac:dyDescent="0.3">
      <c r="H583" s="89">
        <v>581</v>
      </c>
      <c r="I583" s="89">
        <f t="shared" ca="1" si="9"/>
        <v>0</v>
      </c>
      <c r="J583" s="89">
        <f t="shared" ca="1" si="9"/>
        <v>1</v>
      </c>
    </row>
    <row r="584" spans="8:10" x14ac:dyDescent="0.3">
      <c r="H584" s="89">
        <v>582</v>
      </c>
      <c r="I584" s="89">
        <f t="shared" ca="1" si="9"/>
        <v>1</v>
      </c>
      <c r="J584" s="89">
        <f t="shared" ca="1" si="9"/>
        <v>1</v>
      </c>
    </row>
    <row r="585" spans="8:10" x14ac:dyDescent="0.3">
      <c r="H585" s="89">
        <v>583</v>
      </c>
      <c r="I585" s="89">
        <f t="shared" ca="1" si="9"/>
        <v>0</v>
      </c>
      <c r="J585" s="89">
        <f t="shared" ca="1" si="9"/>
        <v>1</v>
      </c>
    </row>
    <row r="586" spans="8:10" x14ac:dyDescent="0.3">
      <c r="H586" s="89">
        <v>584</v>
      </c>
      <c r="I586" s="89">
        <f t="shared" ca="1" si="9"/>
        <v>0</v>
      </c>
      <c r="J586" s="89">
        <f t="shared" ca="1" si="9"/>
        <v>0</v>
      </c>
    </row>
    <row r="587" spans="8:10" x14ac:dyDescent="0.3">
      <c r="H587" s="89">
        <v>585</v>
      </c>
      <c r="I587" s="89">
        <f t="shared" ca="1" si="9"/>
        <v>0</v>
      </c>
      <c r="J587" s="89">
        <f t="shared" ca="1" si="9"/>
        <v>1</v>
      </c>
    </row>
    <row r="588" spans="8:10" x14ac:dyDescent="0.3">
      <c r="H588" s="89">
        <v>586</v>
      </c>
      <c r="I588" s="89">
        <f t="shared" ca="1" si="9"/>
        <v>1</v>
      </c>
      <c r="J588" s="89">
        <f t="shared" ca="1" si="9"/>
        <v>0</v>
      </c>
    </row>
    <row r="589" spans="8:10" x14ac:dyDescent="0.3">
      <c r="H589" s="89">
        <v>587</v>
      </c>
      <c r="I589" s="89">
        <f t="shared" ca="1" si="9"/>
        <v>0</v>
      </c>
      <c r="J589" s="89">
        <f t="shared" ca="1" si="9"/>
        <v>1</v>
      </c>
    </row>
    <row r="590" spans="8:10" x14ac:dyDescent="0.3">
      <c r="H590" s="89">
        <v>588</v>
      </c>
      <c r="I590" s="89">
        <f t="shared" ca="1" si="9"/>
        <v>0</v>
      </c>
      <c r="J590" s="89">
        <f t="shared" ca="1" si="9"/>
        <v>1</v>
      </c>
    </row>
    <row r="591" spans="8:10" x14ac:dyDescent="0.3">
      <c r="H591" s="89">
        <v>589</v>
      </c>
      <c r="I591" s="89">
        <f t="shared" ca="1" si="9"/>
        <v>0</v>
      </c>
      <c r="J591" s="89">
        <f t="shared" ca="1" si="9"/>
        <v>0</v>
      </c>
    </row>
    <row r="592" spans="8:10" x14ac:dyDescent="0.3">
      <c r="H592" s="89">
        <v>590</v>
      </c>
      <c r="I592" s="89">
        <f t="shared" ca="1" si="9"/>
        <v>0</v>
      </c>
      <c r="J592" s="89">
        <f t="shared" ca="1" si="9"/>
        <v>0</v>
      </c>
    </row>
    <row r="593" spans="8:10" x14ac:dyDescent="0.3">
      <c r="H593" s="89">
        <v>591</v>
      </c>
      <c r="I593" s="89">
        <f t="shared" ca="1" si="9"/>
        <v>0</v>
      </c>
      <c r="J593" s="89">
        <f t="shared" ca="1" si="9"/>
        <v>0</v>
      </c>
    </row>
    <row r="594" spans="8:10" x14ac:dyDescent="0.3">
      <c r="H594" s="89">
        <v>592</v>
      </c>
      <c r="I594" s="89">
        <f t="shared" ca="1" si="9"/>
        <v>1</v>
      </c>
      <c r="J594" s="89">
        <f t="shared" ca="1" si="9"/>
        <v>0</v>
      </c>
    </row>
    <row r="595" spans="8:10" x14ac:dyDescent="0.3">
      <c r="H595" s="89">
        <v>593</v>
      </c>
      <c r="I595" s="89">
        <f t="shared" ca="1" si="9"/>
        <v>1</v>
      </c>
      <c r="J595" s="89">
        <f t="shared" ca="1" si="9"/>
        <v>1</v>
      </c>
    </row>
    <row r="596" spans="8:10" x14ac:dyDescent="0.3">
      <c r="H596" s="89">
        <v>594</v>
      </c>
      <c r="I596" s="89">
        <f t="shared" ca="1" si="9"/>
        <v>0</v>
      </c>
      <c r="J596" s="89">
        <f t="shared" ca="1" si="9"/>
        <v>1</v>
      </c>
    </row>
    <row r="597" spans="8:10" x14ac:dyDescent="0.3">
      <c r="H597" s="89">
        <v>595</v>
      </c>
      <c r="I597" s="89">
        <f t="shared" ca="1" si="9"/>
        <v>1</v>
      </c>
      <c r="J597" s="89">
        <f t="shared" ca="1" si="9"/>
        <v>0</v>
      </c>
    </row>
    <row r="598" spans="8:10" x14ac:dyDescent="0.3">
      <c r="H598" s="89">
        <v>596</v>
      </c>
      <c r="I598" s="89">
        <f t="shared" ca="1" si="9"/>
        <v>0</v>
      </c>
      <c r="J598" s="89">
        <f t="shared" ca="1" si="9"/>
        <v>0</v>
      </c>
    </row>
    <row r="599" spans="8:10" x14ac:dyDescent="0.3">
      <c r="H599" s="89">
        <v>597</v>
      </c>
      <c r="I599" s="89">
        <f t="shared" ca="1" si="9"/>
        <v>0</v>
      </c>
      <c r="J599" s="89">
        <f t="shared" ca="1" si="9"/>
        <v>0</v>
      </c>
    </row>
    <row r="600" spans="8:10" x14ac:dyDescent="0.3">
      <c r="H600" s="89">
        <v>598</v>
      </c>
      <c r="I600" s="89">
        <f t="shared" ca="1" si="9"/>
        <v>0</v>
      </c>
      <c r="J600" s="89">
        <f t="shared" ca="1" si="9"/>
        <v>1</v>
      </c>
    </row>
    <row r="601" spans="8:10" x14ac:dyDescent="0.3">
      <c r="H601" s="89">
        <v>599</v>
      </c>
      <c r="I601" s="89">
        <f t="shared" ca="1" si="9"/>
        <v>1</v>
      </c>
      <c r="J601" s="89">
        <f t="shared" ca="1" si="9"/>
        <v>1</v>
      </c>
    </row>
    <row r="602" spans="8:10" x14ac:dyDescent="0.3">
      <c r="H602" s="89">
        <v>600</v>
      </c>
      <c r="I602" s="89">
        <f t="shared" ca="1" si="9"/>
        <v>0</v>
      </c>
      <c r="J602" s="89">
        <f t="shared" ca="1" si="9"/>
        <v>0</v>
      </c>
    </row>
    <row r="603" spans="8:10" x14ac:dyDescent="0.3">
      <c r="H603" s="89">
        <v>601</v>
      </c>
      <c r="I603" s="89">
        <f t="shared" ca="1" si="9"/>
        <v>0</v>
      </c>
      <c r="J603" s="89">
        <f t="shared" ca="1" si="9"/>
        <v>1</v>
      </c>
    </row>
    <row r="604" spans="8:10" x14ac:dyDescent="0.3">
      <c r="H604" s="89">
        <v>602</v>
      </c>
      <c r="I604" s="89">
        <f t="shared" ca="1" si="9"/>
        <v>1</v>
      </c>
      <c r="J604" s="89">
        <f t="shared" ca="1" si="9"/>
        <v>0</v>
      </c>
    </row>
    <row r="605" spans="8:10" x14ac:dyDescent="0.3">
      <c r="H605" s="89">
        <v>603</v>
      </c>
      <c r="I605" s="89">
        <f t="shared" ca="1" si="9"/>
        <v>0</v>
      </c>
      <c r="J605" s="89">
        <f t="shared" ca="1" si="9"/>
        <v>0</v>
      </c>
    </row>
    <row r="606" spans="8:10" x14ac:dyDescent="0.3">
      <c r="H606" s="89">
        <v>604</v>
      </c>
      <c r="I606" s="89">
        <f t="shared" ca="1" si="9"/>
        <v>0</v>
      </c>
      <c r="J606" s="89">
        <f t="shared" ca="1" si="9"/>
        <v>0</v>
      </c>
    </row>
    <row r="607" spans="8:10" x14ac:dyDescent="0.3">
      <c r="H607" s="89">
        <v>605</v>
      </c>
      <c r="I607" s="89">
        <f t="shared" ca="1" si="9"/>
        <v>0</v>
      </c>
      <c r="J607" s="89">
        <f t="shared" ca="1" si="9"/>
        <v>1</v>
      </c>
    </row>
    <row r="608" spans="8:10" x14ac:dyDescent="0.3">
      <c r="H608" s="89">
        <v>606</v>
      </c>
      <c r="I608" s="89">
        <f t="shared" ca="1" si="9"/>
        <v>1</v>
      </c>
      <c r="J608" s="89">
        <f t="shared" ca="1" si="9"/>
        <v>0</v>
      </c>
    </row>
    <row r="609" spans="8:10" x14ac:dyDescent="0.3">
      <c r="H609" s="89">
        <v>607</v>
      </c>
      <c r="I609" s="89">
        <f t="shared" ca="1" si="9"/>
        <v>0</v>
      </c>
      <c r="J609" s="89">
        <f t="shared" ca="1" si="9"/>
        <v>1</v>
      </c>
    </row>
    <row r="610" spans="8:10" x14ac:dyDescent="0.3">
      <c r="H610" s="89">
        <v>608</v>
      </c>
      <c r="I610" s="89">
        <f t="shared" ca="1" si="9"/>
        <v>1</v>
      </c>
      <c r="J610" s="89">
        <f t="shared" ca="1" si="9"/>
        <v>0</v>
      </c>
    </row>
    <row r="611" spans="8:10" x14ac:dyDescent="0.3">
      <c r="H611" s="89">
        <v>609</v>
      </c>
      <c r="I611" s="89">
        <f t="shared" ca="1" si="9"/>
        <v>1</v>
      </c>
      <c r="J611" s="89">
        <f t="shared" ca="1" si="9"/>
        <v>1</v>
      </c>
    </row>
    <row r="612" spans="8:10" x14ac:dyDescent="0.3">
      <c r="H612" s="89">
        <v>610</v>
      </c>
      <c r="I612" s="89">
        <f t="shared" ca="1" si="9"/>
        <v>1</v>
      </c>
      <c r="J612" s="89">
        <f t="shared" ca="1" si="9"/>
        <v>1</v>
      </c>
    </row>
    <row r="613" spans="8:10" x14ac:dyDescent="0.3">
      <c r="H613" s="89">
        <v>611</v>
      </c>
      <c r="I613" s="89">
        <f t="shared" ca="1" si="9"/>
        <v>1</v>
      </c>
      <c r="J613" s="89">
        <f t="shared" ca="1" si="9"/>
        <v>1</v>
      </c>
    </row>
    <row r="614" spans="8:10" x14ac:dyDescent="0.3">
      <c r="H614" s="89">
        <v>612</v>
      </c>
      <c r="I614" s="89">
        <f t="shared" ca="1" si="9"/>
        <v>1</v>
      </c>
      <c r="J614" s="89">
        <f t="shared" ca="1" si="9"/>
        <v>1</v>
      </c>
    </row>
    <row r="615" spans="8:10" x14ac:dyDescent="0.3">
      <c r="H615" s="89">
        <v>613</v>
      </c>
      <c r="I615" s="89">
        <f t="shared" ca="1" si="9"/>
        <v>1</v>
      </c>
      <c r="J615" s="89">
        <f t="shared" ca="1" si="9"/>
        <v>0</v>
      </c>
    </row>
    <row r="616" spans="8:10" x14ac:dyDescent="0.3">
      <c r="H616" s="89">
        <v>614</v>
      </c>
      <c r="I616" s="89">
        <f t="shared" ca="1" si="9"/>
        <v>0</v>
      </c>
      <c r="J616" s="89">
        <f t="shared" ca="1" si="9"/>
        <v>0</v>
      </c>
    </row>
    <row r="617" spans="8:10" x14ac:dyDescent="0.3">
      <c r="H617" s="89">
        <v>615</v>
      </c>
      <c r="I617" s="89">
        <f t="shared" ca="1" si="9"/>
        <v>0</v>
      </c>
      <c r="J617" s="89">
        <f t="shared" ca="1" si="9"/>
        <v>0</v>
      </c>
    </row>
    <row r="618" spans="8:10" x14ac:dyDescent="0.3">
      <c r="H618" s="89">
        <v>616</v>
      </c>
      <c r="I618" s="89">
        <f t="shared" ca="1" si="9"/>
        <v>0</v>
      </c>
      <c r="J618" s="89">
        <f t="shared" ca="1" si="9"/>
        <v>0</v>
      </c>
    </row>
    <row r="619" spans="8:10" x14ac:dyDescent="0.3">
      <c r="H619" s="89">
        <v>617</v>
      </c>
      <c r="I619" s="89">
        <f t="shared" ca="1" si="9"/>
        <v>1</v>
      </c>
      <c r="J619" s="89">
        <f t="shared" ca="1" si="9"/>
        <v>0</v>
      </c>
    </row>
    <row r="620" spans="8:10" x14ac:dyDescent="0.3">
      <c r="H620" s="89">
        <v>618</v>
      </c>
      <c r="I620" s="89">
        <f t="shared" ca="1" si="9"/>
        <v>0</v>
      </c>
      <c r="J620" s="89">
        <f t="shared" ca="1" si="9"/>
        <v>1</v>
      </c>
    </row>
    <row r="621" spans="8:10" x14ac:dyDescent="0.3">
      <c r="H621" s="89">
        <v>619</v>
      </c>
      <c r="I621" s="89">
        <f t="shared" ca="1" si="9"/>
        <v>0</v>
      </c>
      <c r="J621" s="89">
        <f t="shared" ca="1" si="9"/>
        <v>0</v>
      </c>
    </row>
    <row r="622" spans="8:10" x14ac:dyDescent="0.3">
      <c r="H622" s="89">
        <v>620</v>
      </c>
      <c r="I622" s="89">
        <f t="shared" ca="1" si="9"/>
        <v>1</v>
      </c>
      <c r="J622" s="89">
        <f t="shared" ca="1" si="9"/>
        <v>0</v>
      </c>
    </row>
    <row r="623" spans="8:10" x14ac:dyDescent="0.3">
      <c r="H623" s="89">
        <v>621</v>
      </c>
      <c r="I623" s="89">
        <f t="shared" ca="1" si="9"/>
        <v>0</v>
      </c>
      <c r="J623" s="89">
        <f t="shared" ca="1" si="9"/>
        <v>0</v>
      </c>
    </row>
    <row r="624" spans="8:10" x14ac:dyDescent="0.3">
      <c r="H624" s="89">
        <v>622</v>
      </c>
      <c r="I624" s="89">
        <f t="shared" ca="1" si="9"/>
        <v>1</v>
      </c>
      <c r="J624" s="89">
        <f t="shared" ca="1" si="9"/>
        <v>0</v>
      </c>
    </row>
    <row r="625" spans="8:10" x14ac:dyDescent="0.3">
      <c r="H625" s="89">
        <v>623</v>
      </c>
      <c r="I625" s="89">
        <f t="shared" ca="1" si="9"/>
        <v>0</v>
      </c>
      <c r="J625" s="89">
        <f t="shared" ca="1" si="9"/>
        <v>0</v>
      </c>
    </row>
    <row r="626" spans="8:10" x14ac:dyDescent="0.3">
      <c r="H626" s="89">
        <v>624</v>
      </c>
      <c r="I626" s="89">
        <f t="shared" ca="1" si="9"/>
        <v>1</v>
      </c>
      <c r="J626" s="89">
        <f t="shared" ca="1" si="9"/>
        <v>0</v>
      </c>
    </row>
    <row r="627" spans="8:10" x14ac:dyDescent="0.3">
      <c r="H627" s="89">
        <v>625</v>
      </c>
      <c r="I627" s="89">
        <f t="shared" ca="1" si="9"/>
        <v>1</v>
      </c>
      <c r="J627" s="89">
        <f t="shared" ca="1" si="9"/>
        <v>0</v>
      </c>
    </row>
    <row r="628" spans="8:10" x14ac:dyDescent="0.3">
      <c r="H628" s="89">
        <v>626</v>
      </c>
      <c r="I628" s="89">
        <f t="shared" ca="1" si="9"/>
        <v>1</v>
      </c>
      <c r="J628" s="89">
        <f t="shared" ca="1" si="9"/>
        <v>0</v>
      </c>
    </row>
    <row r="629" spans="8:10" x14ac:dyDescent="0.3">
      <c r="H629" s="89">
        <v>627</v>
      </c>
      <c r="I629" s="89">
        <f t="shared" ca="1" si="9"/>
        <v>0</v>
      </c>
      <c r="J629" s="89">
        <f t="shared" ca="1" si="9"/>
        <v>0</v>
      </c>
    </row>
    <row r="630" spans="8:10" x14ac:dyDescent="0.3">
      <c r="H630" s="89">
        <v>628</v>
      </c>
      <c r="I630" s="89">
        <f t="shared" ca="1" si="9"/>
        <v>0</v>
      </c>
      <c r="J630" s="89">
        <f t="shared" ca="1" si="9"/>
        <v>0</v>
      </c>
    </row>
    <row r="631" spans="8:10" x14ac:dyDescent="0.3">
      <c r="H631" s="89">
        <v>629</v>
      </c>
      <c r="I631" s="89">
        <f t="shared" ca="1" si="9"/>
        <v>0</v>
      </c>
      <c r="J631" s="89">
        <f t="shared" ca="1" si="9"/>
        <v>0</v>
      </c>
    </row>
    <row r="632" spans="8:10" x14ac:dyDescent="0.3">
      <c r="H632" s="89">
        <v>630</v>
      </c>
      <c r="I632" s="89">
        <f t="shared" ca="1" si="9"/>
        <v>1</v>
      </c>
      <c r="J632" s="89">
        <f t="shared" ca="1" si="9"/>
        <v>0</v>
      </c>
    </row>
    <row r="633" spans="8:10" x14ac:dyDescent="0.3">
      <c r="H633" s="89">
        <v>631</v>
      </c>
      <c r="I633" s="89">
        <f t="shared" ca="1" si="9"/>
        <v>0</v>
      </c>
      <c r="J633" s="89">
        <f t="shared" ca="1" si="9"/>
        <v>0</v>
      </c>
    </row>
    <row r="634" spans="8:10" x14ac:dyDescent="0.3">
      <c r="H634" s="89">
        <v>632</v>
      </c>
      <c r="I634" s="89">
        <f t="shared" ca="1" si="9"/>
        <v>0</v>
      </c>
      <c r="J634" s="89">
        <f t="shared" ca="1" si="9"/>
        <v>1</v>
      </c>
    </row>
    <row r="635" spans="8:10" x14ac:dyDescent="0.3">
      <c r="H635" s="89">
        <v>633</v>
      </c>
      <c r="I635" s="89">
        <f t="shared" ca="1" si="9"/>
        <v>0</v>
      </c>
      <c r="J635" s="89">
        <f t="shared" ca="1" si="9"/>
        <v>1</v>
      </c>
    </row>
    <row r="636" spans="8:10" x14ac:dyDescent="0.3">
      <c r="H636" s="89">
        <v>634</v>
      </c>
      <c r="I636" s="89">
        <f t="shared" ca="1" si="9"/>
        <v>1</v>
      </c>
      <c r="J636" s="89">
        <f t="shared" ca="1" si="9"/>
        <v>1</v>
      </c>
    </row>
    <row r="637" spans="8:10" x14ac:dyDescent="0.3">
      <c r="H637" s="89">
        <v>635</v>
      </c>
      <c r="I637" s="89">
        <f t="shared" ca="1" si="9"/>
        <v>1</v>
      </c>
      <c r="J637" s="89">
        <f t="shared" ca="1" si="9"/>
        <v>0</v>
      </c>
    </row>
    <row r="638" spans="8:10" x14ac:dyDescent="0.3">
      <c r="H638" s="89">
        <v>636</v>
      </c>
      <c r="I638" s="89">
        <f t="shared" ca="1" si="9"/>
        <v>0</v>
      </c>
      <c r="J638" s="89">
        <f t="shared" ca="1" si="9"/>
        <v>1</v>
      </c>
    </row>
    <row r="639" spans="8:10" x14ac:dyDescent="0.3">
      <c r="H639" s="89">
        <v>637</v>
      </c>
      <c r="I639" s="89">
        <f t="shared" ca="1" si="9"/>
        <v>1</v>
      </c>
      <c r="J639" s="89">
        <f t="shared" ca="1" si="9"/>
        <v>0</v>
      </c>
    </row>
    <row r="640" spans="8:10" x14ac:dyDescent="0.3">
      <c r="H640" s="89">
        <v>638</v>
      </c>
      <c r="I640" s="89">
        <f t="shared" ca="1" si="9"/>
        <v>0</v>
      </c>
      <c r="J640" s="89">
        <f t="shared" ca="1" si="9"/>
        <v>0</v>
      </c>
    </row>
    <row r="641" spans="8:10" x14ac:dyDescent="0.3">
      <c r="H641" s="89">
        <v>639</v>
      </c>
      <c r="I641" s="89">
        <f t="shared" ca="1" si="9"/>
        <v>0</v>
      </c>
      <c r="J641" s="89">
        <f t="shared" ca="1" si="9"/>
        <v>1</v>
      </c>
    </row>
    <row r="642" spans="8:10" x14ac:dyDescent="0.3">
      <c r="H642" s="89">
        <v>640</v>
      </c>
      <c r="I642" s="89">
        <f t="shared" ca="1" si="9"/>
        <v>0</v>
      </c>
      <c r="J642" s="89">
        <f t="shared" ca="1" si="9"/>
        <v>0</v>
      </c>
    </row>
    <row r="643" spans="8:10" x14ac:dyDescent="0.3">
      <c r="H643" s="89">
        <v>641</v>
      </c>
      <c r="I643" s="89">
        <f t="shared" ca="1" si="9"/>
        <v>0</v>
      </c>
      <c r="J643" s="89">
        <f t="shared" ca="1" si="9"/>
        <v>1</v>
      </c>
    </row>
    <row r="644" spans="8:10" x14ac:dyDescent="0.3">
      <c r="H644" s="89">
        <v>642</v>
      </c>
      <c r="I644" s="89">
        <f t="shared" ref="I644:J707" ca="1" si="10">RANDBETWEEN(0,1)</f>
        <v>0</v>
      </c>
      <c r="J644" s="89">
        <f t="shared" ca="1" si="10"/>
        <v>0</v>
      </c>
    </row>
    <row r="645" spans="8:10" x14ac:dyDescent="0.3">
      <c r="H645" s="89">
        <v>643</v>
      </c>
      <c r="I645" s="89">
        <f t="shared" ca="1" si="10"/>
        <v>1</v>
      </c>
      <c r="J645" s="89">
        <f t="shared" ca="1" si="10"/>
        <v>0</v>
      </c>
    </row>
    <row r="646" spans="8:10" x14ac:dyDescent="0.3">
      <c r="H646" s="89">
        <v>644</v>
      </c>
      <c r="I646" s="89">
        <f t="shared" ca="1" si="10"/>
        <v>1</v>
      </c>
      <c r="J646" s="89">
        <f t="shared" ca="1" si="10"/>
        <v>1</v>
      </c>
    </row>
    <row r="647" spans="8:10" x14ac:dyDescent="0.3">
      <c r="H647" s="89">
        <v>645</v>
      </c>
      <c r="I647" s="89">
        <f t="shared" ca="1" si="10"/>
        <v>1</v>
      </c>
      <c r="J647" s="89">
        <f t="shared" ca="1" si="10"/>
        <v>0</v>
      </c>
    </row>
    <row r="648" spans="8:10" x14ac:dyDescent="0.3">
      <c r="H648" s="89">
        <v>646</v>
      </c>
      <c r="I648" s="89">
        <f t="shared" ca="1" si="10"/>
        <v>0</v>
      </c>
      <c r="J648" s="89">
        <f t="shared" ca="1" si="10"/>
        <v>1</v>
      </c>
    </row>
    <row r="649" spans="8:10" x14ac:dyDescent="0.3">
      <c r="H649" s="89">
        <v>647</v>
      </c>
      <c r="I649" s="89">
        <f t="shared" ca="1" si="10"/>
        <v>0</v>
      </c>
      <c r="J649" s="89">
        <f t="shared" ca="1" si="10"/>
        <v>0</v>
      </c>
    </row>
    <row r="650" spans="8:10" x14ac:dyDescent="0.3">
      <c r="H650" s="89">
        <v>648</v>
      </c>
      <c r="I650" s="89">
        <f t="shared" ca="1" si="10"/>
        <v>0</v>
      </c>
      <c r="J650" s="89">
        <f t="shared" ca="1" si="10"/>
        <v>0</v>
      </c>
    </row>
    <row r="651" spans="8:10" x14ac:dyDescent="0.3">
      <c r="H651" s="89">
        <v>649</v>
      </c>
      <c r="I651" s="89">
        <f t="shared" ca="1" si="10"/>
        <v>0</v>
      </c>
      <c r="J651" s="89">
        <f t="shared" ca="1" si="10"/>
        <v>0</v>
      </c>
    </row>
    <row r="652" spans="8:10" x14ac:dyDescent="0.3">
      <c r="H652" s="89">
        <v>650</v>
      </c>
      <c r="I652" s="89">
        <f t="shared" ca="1" si="10"/>
        <v>0</v>
      </c>
      <c r="J652" s="89">
        <f t="shared" ca="1" si="10"/>
        <v>1</v>
      </c>
    </row>
    <row r="653" spans="8:10" x14ac:dyDescent="0.3">
      <c r="H653" s="89">
        <v>651</v>
      </c>
      <c r="I653" s="89">
        <f t="shared" ca="1" si="10"/>
        <v>1</v>
      </c>
      <c r="J653" s="89">
        <f t="shared" ca="1" si="10"/>
        <v>1</v>
      </c>
    </row>
    <row r="654" spans="8:10" x14ac:dyDescent="0.3">
      <c r="H654" s="89">
        <v>652</v>
      </c>
      <c r="I654" s="89">
        <f t="shared" ca="1" si="10"/>
        <v>1</v>
      </c>
      <c r="J654" s="89">
        <f t="shared" ca="1" si="10"/>
        <v>0</v>
      </c>
    </row>
    <row r="655" spans="8:10" x14ac:dyDescent="0.3">
      <c r="H655" s="89">
        <v>653</v>
      </c>
      <c r="I655" s="89">
        <f t="shared" ca="1" si="10"/>
        <v>1</v>
      </c>
      <c r="J655" s="89">
        <f t="shared" ca="1" si="10"/>
        <v>0</v>
      </c>
    </row>
    <row r="656" spans="8:10" x14ac:dyDescent="0.3">
      <c r="H656" s="89">
        <v>654</v>
      </c>
      <c r="I656" s="89">
        <f t="shared" ca="1" si="10"/>
        <v>0</v>
      </c>
      <c r="J656" s="89">
        <f t="shared" ca="1" si="10"/>
        <v>1</v>
      </c>
    </row>
    <row r="657" spans="8:10" x14ac:dyDescent="0.3">
      <c r="H657" s="89">
        <v>655</v>
      </c>
      <c r="I657" s="89">
        <f t="shared" ca="1" si="10"/>
        <v>0</v>
      </c>
      <c r="J657" s="89">
        <f t="shared" ca="1" si="10"/>
        <v>0</v>
      </c>
    </row>
    <row r="658" spans="8:10" x14ac:dyDescent="0.3">
      <c r="H658" s="89">
        <v>656</v>
      </c>
      <c r="I658" s="89">
        <f t="shared" ca="1" si="10"/>
        <v>0</v>
      </c>
      <c r="J658" s="89">
        <f t="shared" ca="1" si="10"/>
        <v>1</v>
      </c>
    </row>
    <row r="659" spans="8:10" x14ac:dyDescent="0.3">
      <c r="H659" s="89">
        <v>657</v>
      </c>
      <c r="I659" s="89">
        <f t="shared" ca="1" si="10"/>
        <v>1</v>
      </c>
      <c r="J659" s="89">
        <f t="shared" ca="1" si="10"/>
        <v>1</v>
      </c>
    </row>
    <row r="660" spans="8:10" x14ac:dyDescent="0.3">
      <c r="H660" s="89">
        <v>658</v>
      </c>
      <c r="I660" s="89">
        <f t="shared" ca="1" si="10"/>
        <v>0</v>
      </c>
      <c r="J660" s="89">
        <f t="shared" ca="1" si="10"/>
        <v>1</v>
      </c>
    </row>
    <row r="661" spans="8:10" x14ac:dyDescent="0.3">
      <c r="H661" s="89">
        <v>659</v>
      </c>
      <c r="I661" s="89">
        <f t="shared" ca="1" si="10"/>
        <v>0</v>
      </c>
      <c r="J661" s="89">
        <f t="shared" ca="1" si="10"/>
        <v>0</v>
      </c>
    </row>
    <row r="662" spans="8:10" x14ac:dyDescent="0.3">
      <c r="H662" s="89">
        <v>660</v>
      </c>
      <c r="I662" s="89">
        <f t="shared" ca="1" si="10"/>
        <v>0</v>
      </c>
      <c r="J662" s="89">
        <f t="shared" ca="1" si="10"/>
        <v>1</v>
      </c>
    </row>
    <row r="663" spans="8:10" x14ac:dyDescent="0.3">
      <c r="H663" s="89">
        <v>661</v>
      </c>
      <c r="I663" s="89">
        <f t="shared" ca="1" si="10"/>
        <v>0</v>
      </c>
      <c r="J663" s="89">
        <f t="shared" ca="1" si="10"/>
        <v>1</v>
      </c>
    </row>
    <row r="664" spans="8:10" x14ac:dyDescent="0.3">
      <c r="H664" s="89">
        <v>662</v>
      </c>
      <c r="I664" s="89">
        <f t="shared" ca="1" si="10"/>
        <v>1</v>
      </c>
      <c r="J664" s="89">
        <f t="shared" ca="1" si="10"/>
        <v>1</v>
      </c>
    </row>
    <row r="665" spans="8:10" x14ac:dyDescent="0.3">
      <c r="H665" s="89">
        <v>663</v>
      </c>
      <c r="I665" s="89">
        <f t="shared" ca="1" si="10"/>
        <v>1</v>
      </c>
      <c r="J665" s="89">
        <f t="shared" ca="1" si="10"/>
        <v>0</v>
      </c>
    </row>
    <row r="666" spans="8:10" x14ac:dyDescent="0.3">
      <c r="H666" s="89">
        <v>664</v>
      </c>
      <c r="I666" s="89">
        <f t="shared" ca="1" si="10"/>
        <v>0</v>
      </c>
      <c r="J666" s="89">
        <f t="shared" ca="1" si="10"/>
        <v>1</v>
      </c>
    </row>
    <row r="667" spans="8:10" x14ac:dyDescent="0.3">
      <c r="H667" s="89">
        <v>665</v>
      </c>
      <c r="I667" s="89">
        <f t="shared" ca="1" si="10"/>
        <v>0</v>
      </c>
      <c r="J667" s="89">
        <f t="shared" ca="1" si="10"/>
        <v>1</v>
      </c>
    </row>
    <row r="668" spans="8:10" x14ac:dyDescent="0.3">
      <c r="H668" s="89">
        <v>666</v>
      </c>
      <c r="I668" s="89">
        <f t="shared" ca="1" si="10"/>
        <v>1</v>
      </c>
      <c r="J668" s="89">
        <f t="shared" ca="1" si="10"/>
        <v>1</v>
      </c>
    </row>
    <row r="669" spans="8:10" x14ac:dyDescent="0.3">
      <c r="H669" s="89">
        <v>667</v>
      </c>
      <c r="I669" s="89">
        <f t="shared" ca="1" si="10"/>
        <v>0</v>
      </c>
      <c r="J669" s="89">
        <f t="shared" ca="1" si="10"/>
        <v>1</v>
      </c>
    </row>
    <row r="670" spans="8:10" x14ac:dyDescent="0.3">
      <c r="H670" s="89">
        <v>668</v>
      </c>
      <c r="I670" s="89">
        <f t="shared" ca="1" si="10"/>
        <v>0</v>
      </c>
      <c r="J670" s="89">
        <f t="shared" ca="1" si="10"/>
        <v>1</v>
      </c>
    </row>
    <row r="671" spans="8:10" x14ac:dyDescent="0.3">
      <c r="H671" s="89">
        <v>669</v>
      </c>
      <c r="I671" s="89">
        <f t="shared" ca="1" si="10"/>
        <v>1</v>
      </c>
      <c r="J671" s="89">
        <f t="shared" ca="1" si="10"/>
        <v>0</v>
      </c>
    </row>
    <row r="672" spans="8:10" x14ac:dyDescent="0.3">
      <c r="H672" s="89">
        <v>670</v>
      </c>
      <c r="I672" s="89">
        <f t="shared" ca="1" si="10"/>
        <v>0</v>
      </c>
      <c r="J672" s="89">
        <f t="shared" ca="1" si="10"/>
        <v>1</v>
      </c>
    </row>
    <row r="673" spans="8:10" x14ac:dyDescent="0.3">
      <c r="H673" s="89">
        <v>671</v>
      </c>
      <c r="I673" s="89">
        <f t="shared" ca="1" si="10"/>
        <v>1</v>
      </c>
      <c r="J673" s="89">
        <f t="shared" ca="1" si="10"/>
        <v>1</v>
      </c>
    </row>
    <row r="674" spans="8:10" x14ac:dyDescent="0.3">
      <c r="H674" s="89">
        <v>672</v>
      </c>
      <c r="I674" s="89">
        <f t="shared" ca="1" si="10"/>
        <v>0</v>
      </c>
      <c r="J674" s="89">
        <f t="shared" ca="1" si="10"/>
        <v>1</v>
      </c>
    </row>
    <row r="675" spans="8:10" x14ac:dyDescent="0.3">
      <c r="H675" s="89">
        <v>673</v>
      </c>
      <c r="I675" s="89">
        <f t="shared" ca="1" si="10"/>
        <v>0</v>
      </c>
      <c r="J675" s="89">
        <f t="shared" ca="1" si="10"/>
        <v>0</v>
      </c>
    </row>
    <row r="676" spans="8:10" x14ac:dyDescent="0.3">
      <c r="H676" s="89">
        <v>674</v>
      </c>
      <c r="I676" s="89">
        <f t="shared" ca="1" si="10"/>
        <v>1</v>
      </c>
      <c r="J676" s="89">
        <f t="shared" ca="1" si="10"/>
        <v>0</v>
      </c>
    </row>
    <row r="677" spans="8:10" x14ac:dyDescent="0.3">
      <c r="H677" s="89">
        <v>675</v>
      </c>
      <c r="I677" s="89">
        <f t="shared" ca="1" si="10"/>
        <v>1</v>
      </c>
      <c r="J677" s="89">
        <f t="shared" ca="1" si="10"/>
        <v>1</v>
      </c>
    </row>
    <row r="678" spans="8:10" x14ac:dyDescent="0.3">
      <c r="H678" s="89">
        <v>676</v>
      </c>
      <c r="I678" s="89">
        <f t="shared" ca="1" si="10"/>
        <v>0</v>
      </c>
      <c r="J678" s="89">
        <f t="shared" ca="1" si="10"/>
        <v>0</v>
      </c>
    </row>
    <row r="679" spans="8:10" x14ac:dyDescent="0.3">
      <c r="H679" s="89">
        <v>677</v>
      </c>
      <c r="I679" s="89">
        <f t="shared" ca="1" si="10"/>
        <v>0</v>
      </c>
      <c r="J679" s="89">
        <f t="shared" ca="1" si="10"/>
        <v>0</v>
      </c>
    </row>
    <row r="680" spans="8:10" x14ac:dyDescent="0.3">
      <c r="H680" s="89">
        <v>678</v>
      </c>
      <c r="I680" s="89">
        <f t="shared" ca="1" si="10"/>
        <v>0</v>
      </c>
      <c r="J680" s="89">
        <f t="shared" ca="1" si="10"/>
        <v>0</v>
      </c>
    </row>
    <row r="681" spans="8:10" x14ac:dyDescent="0.3">
      <c r="H681" s="89">
        <v>679</v>
      </c>
      <c r="I681" s="89">
        <f t="shared" ca="1" si="10"/>
        <v>1</v>
      </c>
      <c r="J681" s="89">
        <f t="shared" ca="1" si="10"/>
        <v>1</v>
      </c>
    </row>
    <row r="682" spans="8:10" x14ac:dyDescent="0.3">
      <c r="H682" s="89">
        <v>680</v>
      </c>
      <c r="I682" s="89">
        <f t="shared" ca="1" si="10"/>
        <v>1</v>
      </c>
      <c r="J682" s="89">
        <f t="shared" ca="1" si="10"/>
        <v>1</v>
      </c>
    </row>
    <row r="683" spans="8:10" x14ac:dyDescent="0.3">
      <c r="H683" s="89">
        <v>681</v>
      </c>
      <c r="I683" s="89">
        <f t="shared" ca="1" si="10"/>
        <v>0</v>
      </c>
      <c r="J683" s="89">
        <f t="shared" ca="1" si="10"/>
        <v>0</v>
      </c>
    </row>
    <row r="684" spans="8:10" x14ac:dyDescent="0.3">
      <c r="H684" s="89">
        <v>682</v>
      </c>
      <c r="I684" s="89">
        <f t="shared" ca="1" si="10"/>
        <v>1</v>
      </c>
      <c r="J684" s="89">
        <f t="shared" ca="1" si="10"/>
        <v>0</v>
      </c>
    </row>
    <row r="685" spans="8:10" x14ac:dyDescent="0.3">
      <c r="H685" s="89">
        <v>683</v>
      </c>
      <c r="I685" s="89">
        <f t="shared" ca="1" si="10"/>
        <v>0</v>
      </c>
      <c r="J685" s="89">
        <f t="shared" ca="1" si="10"/>
        <v>1</v>
      </c>
    </row>
    <row r="686" spans="8:10" x14ac:dyDescent="0.3">
      <c r="H686" s="89">
        <v>684</v>
      </c>
      <c r="I686" s="89">
        <f t="shared" ca="1" si="10"/>
        <v>0</v>
      </c>
      <c r="J686" s="89">
        <f t="shared" ca="1" si="10"/>
        <v>1</v>
      </c>
    </row>
    <row r="687" spans="8:10" x14ac:dyDescent="0.3">
      <c r="H687" s="89">
        <v>685</v>
      </c>
      <c r="I687" s="89">
        <f t="shared" ca="1" si="10"/>
        <v>1</v>
      </c>
      <c r="J687" s="89">
        <f t="shared" ca="1" si="10"/>
        <v>0</v>
      </c>
    </row>
    <row r="688" spans="8:10" x14ac:dyDescent="0.3">
      <c r="H688" s="89">
        <v>686</v>
      </c>
      <c r="I688" s="89">
        <f t="shared" ca="1" si="10"/>
        <v>0</v>
      </c>
      <c r="J688" s="89">
        <f t="shared" ca="1" si="10"/>
        <v>1</v>
      </c>
    </row>
    <row r="689" spans="8:10" x14ac:dyDescent="0.3">
      <c r="H689" s="89">
        <v>687</v>
      </c>
      <c r="I689" s="89">
        <f t="shared" ca="1" si="10"/>
        <v>1</v>
      </c>
      <c r="J689" s="89">
        <f t="shared" ca="1" si="10"/>
        <v>0</v>
      </c>
    </row>
    <row r="690" spans="8:10" x14ac:dyDescent="0.3">
      <c r="H690" s="89">
        <v>688</v>
      </c>
      <c r="I690" s="89">
        <f t="shared" ca="1" si="10"/>
        <v>0</v>
      </c>
      <c r="J690" s="89">
        <f t="shared" ca="1" si="10"/>
        <v>1</v>
      </c>
    </row>
    <row r="691" spans="8:10" x14ac:dyDescent="0.3">
      <c r="H691" s="89">
        <v>689</v>
      </c>
      <c r="I691" s="89">
        <f t="shared" ca="1" si="10"/>
        <v>0</v>
      </c>
      <c r="J691" s="89">
        <f t="shared" ca="1" si="10"/>
        <v>0</v>
      </c>
    </row>
    <row r="692" spans="8:10" x14ac:dyDescent="0.3">
      <c r="H692" s="89">
        <v>690</v>
      </c>
      <c r="I692" s="89">
        <f t="shared" ca="1" si="10"/>
        <v>0</v>
      </c>
      <c r="J692" s="89">
        <f t="shared" ca="1" si="10"/>
        <v>1</v>
      </c>
    </row>
    <row r="693" spans="8:10" x14ac:dyDescent="0.3">
      <c r="H693" s="89">
        <v>691</v>
      </c>
      <c r="I693" s="89">
        <f t="shared" ca="1" si="10"/>
        <v>0</v>
      </c>
      <c r="J693" s="89">
        <f t="shared" ca="1" si="10"/>
        <v>1</v>
      </c>
    </row>
    <row r="694" spans="8:10" x14ac:dyDescent="0.3">
      <c r="H694" s="89">
        <v>692</v>
      </c>
      <c r="I694" s="89">
        <f t="shared" ca="1" si="10"/>
        <v>1</v>
      </c>
      <c r="J694" s="89">
        <f t="shared" ca="1" si="10"/>
        <v>0</v>
      </c>
    </row>
    <row r="695" spans="8:10" x14ac:dyDescent="0.3">
      <c r="H695" s="89">
        <v>693</v>
      </c>
      <c r="I695" s="89">
        <f t="shared" ca="1" si="10"/>
        <v>1</v>
      </c>
      <c r="J695" s="89">
        <f t="shared" ca="1" si="10"/>
        <v>1</v>
      </c>
    </row>
    <row r="696" spans="8:10" x14ac:dyDescent="0.3">
      <c r="H696" s="89">
        <v>694</v>
      </c>
      <c r="I696" s="89">
        <f t="shared" ca="1" si="10"/>
        <v>0</v>
      </c>
      <c r="J696" s="89">
        <f t="shared" ca="1" si="10"/>
        <v>0</v>
      </c>
    </row>
    <row r="697" spans="8:10" x14ac:dyDescent="0.3">
      <c r="H697" s="89">
        <v>695</v>
      </c>
      <c r="I697" s="89">
        <f t="shared" ca="1" si="10"/>
        <v>1</v>
      </c>
      <c r="J697" s="89">
        <f t="shared" ca="1" si="10"/>
        <v>0</v>
      </c>
    </row>
    <row r="698" spans="8:10" x14ac:dyDescent="0.3">
      <c r="H698" s="89">
        <v>696</v>
      </c>
      <c r="I698" s="89">
        <f t="shared" ca="1" si="10"/>
        <v>1</v>
      </c>
      <c r="J698" s="89">
        <f t="shared" ca="1" si="10"/>
        <v>0</v>
      </c>
    </row>
    <row r="699" spans="8:10" x14ac:dyDescent="0.3">
      <c r="H699" s="89">
        <v>697</v>
      </c>
      <c r="I699" s="89">
        <f t="shared" ca="1" si="10"/>
        <v>0</v>
      </c>
      <c r="J699" s="89">
        <f t="shared" ca="1" si="10"/>
        <v>0</v>
      </c>
    </row>
    <row r="700" spans="8:10" x14ac:dyDescent="0.3">
      <c r="H700" s="89">
        <v>698</v>
      </c>
      <c r="I700" s="89">
        <f t="shared" ca="1" si="10"/>
        <v>1</v>
      </c>
      <c r="J700" s="89">
        <f t="shared" ca="1" si="10"/>
        <v>0</v>
      </c>
    </row>
    <row r="701" spans="8:10" x14ac:dyDescent="0.3">
      <c r="H701" s="89">
        <v>699</v>
      </c>
      <c r="I701" s="89">
        <f t="shared" ca="1" si="10"/>
        <v>1</v>
      </c>
      <c r="J701" s="89">
        <f t="shared" ca="1" si="10"/>
        <v>0</v>
      </c>
    </row>
    <row r="702" spans="8:10" x14ac:dyDescent="0.3">
      <c r="H702" s="89">
        <v>700</v>
      </c>
      <c r="I702" s="89">
        <f t="shared" ca="1" si="10"/>
        <v>0</v>
      </c>
      <c r="J702" s="89">
        <f t="shared" ca="1" si="10"/>
        <v>1</v>
      </c>
    </row>
    <row r="703" spans="8:10" x14ac:dyDescent="0.3">
      <c r="H703" s="89">
        <v>701</v>
      </c>
      <c r="I703" s="89">
        <f t="shared" ca="1" si="10"/>
        <v>1</v>
      </c>
      <c r="J703" s="89">
        <f t="shared" ca="1" si="10"/>
        <v>1</v>
      </c>
    </row>
    <row r="704" spans="8:10" x14ac:dyDescent="0.3">
      <c r="H704" s="89">
        <v>702</v>
      </c>
      <c r="I704" s="89">
        <f t="shared" ca="1" si="10"/>
        <v>0</v>
      </c>
      <c r="J704" s="89">
        <f t="shared" ca="1" si="10"/>
        <v>0</v>
      </c>
    </row>
    <row r="705" spans="8:10" x14ac:dyDescent="0.3">
      <c r="H705" s="89">
        <v>703</v>
      </c>
      <c r="I705" s="89">
        <f t="shared" ca="1" si="10"/>
        <v>1</v>
      </c>
      <c r="J705" s="89">
        <f t="shared" ca="1" si="10"/>
        <v>0</v>
      </c>
    </row>
    <row r="706" spans="8:10" x14ac:dyDescent="0.3">
      <c r="H706" s="89">
        <v>704</v>
      </c>
      <c r="I706" s="89">
        <f t="shared" ca="1" si="10"/>
        <v>1</v>
      </c>
      <c r="J706" s="89">
        <f t="shared" ca="1" si="10"/>
        <v>0</v>
      </c>
    </row>
    <row r="707" spans="8:10" x14ac:dyDescent="0.3">
      <c r="H707" s="89">
        <v>705</v>
      </c>
      <c r="I707" s="89">
        <f t="shared" ca="1" si="10"/>
        <v>0</v>
      </c>
      <c r="J707" s="89">
        <f t="shared" ca="1" si="10"/>
        <v>1</v>
      </c>
    </row>
    <row r="708" spans="8:10" x14ac:dyDescent="0.3">
      <c r="H708" s="89">
        <v>706</v>
      </c>
      <c r="I708" s="89">
        <f t="shared" ref="I708:J771" ca="1" si="11">RANDBETWEEN(0,1)</f>
        <v>1</v>
      </c>
      <c r="J708" s="89">
        <f t="shared" ca="1" si="11"/>
        <v>0</v>
      </c>
    </row>
    <row r="709" spans="8:10" x14ac:dyDescent="0.3">
      <c r="H709" s="89">
        <v>707</v>
      </c>
      <c r="I709" s="89">
        <f t="shared" ca="1" si="11"/>
        <v>0</v>
      </c>
      <c r="J709" s="89">
        <f t="shared" ca="1" si="11"/>
        <v>1</v>
      </c>
    </row>
    <row r="710" spans="8:10" x14ac:dyDescent="0.3">
      <c r="H710" s="89">
        <v>708</v>
      </c>
      <c r="I710" s="89">
        <f t="shared" ca="1" si="11"/>
        <v>1</v>
      </c>
      <c r="J710" s="89">
        <f t="shared" ca="1" si="11"/>
        <v>1</v>
      </c>
    </row>
    <row r="711" spans="8:10" x14ac:dyDescent="0.3">
      <c r="H711" s="89">
        <v>709</v>
      </c>
      <c r="I711" s="89">
        <f t="shared" ca="1" si="11"/>
        <v>0</v>
      </c>
      <c r="J711" s="89">
        <f t="shared" ca="1" si="11"/>
        <v>0</v>
      </c>
    </row>
    <row r="712" spans="8:10" x14ac:dyDescent="0.3">
      <c r="H712" s="89">
        <v>710</v>
      </c>
      <c r="I712" s="89">
        <f t="shared" ca="1" si="11"/>
        <v>0</v>
      </c>
      <c r="J712" s="89">
        <f t="shared" ca="1" si="11"/>
        <v>0</v>
      </c>
    </row>
    <row r="713" spans="8:10" x14ac:dyDescent="0.3">
      <c r="H713" s="89">
        <v>711</v>
      </c>
      <c r="I713" s="89">
        <f t="shared" ca="1" si="11"/>
        <v>1</v>
      </c>
      <c r="J713" s="89">
        <f t="shared" ca="1" si="11"/>
        <v>0</v>
      </c>
    </row>
    <row r="714" spans="8:10" x14ac:dyDescent="0.3">
      <c r="H714" s="89">
        <v>712</v>
      </c>
      <c r="I714" s="89">
        <f t="shared" ca="1" si="11"/>
        <v>1</v>
      </c>
      <c r="J714" s="89">
        <f t="shared" ca="1" si="11"/>
        <v>0</v>
      </c>
    </row>
    <row r="715" spans="8:10" x14ac:dyDescent="0.3">
      <c r="H715" s="89">
        <v>713</v>
      </c>
      <c r="I715" s="89">
        <f t="shared" ca="1" si="11"/>
        <v>0</v>
      </c>
      <c r="J715" s="89">
        <f t="shared" ca="1" si="11"/>
        <v>1</v>
      </c>
    </row>
    <row r="716" spans="8:10" x14ac:dyDescent="0.3">
      <c r="H716" s="89">
        <v>714</v>
      </c>
      <c r="I716" s="89">
        <f t="shared" ca="1" si="11"/>
        <v>0</v>
      </c>
      <c r="J716" s="89">
        <f t="shared" ca="1" si="11"/>
        <v>0</v>
      </c>
    </row>
    <row r="717" spans="8:10" x14ac:dyDescent="0.3">
      <c r="H717" s="89">
        <v>715</v>
      </c>
      <c r="I717" s="89">
        <f t="shared" ca="1" si="11"/>
        <v>0</v>
      </c>
      <c r="J717" s="89">
        <f t="shared" ca="1" si="11"/>
        <v>1</v>
      </c>
    </row>
    <row r="718" spans="8:10" x14ac:dyDescent="0.3">
      <c r="H718" s="89">
        <v>716</v>
      </c>
      <c r="I718" s="89">
        <f t="shared" ca="1" si="11"/>
        <v>1</v>
      </c>
      <c r="J718" s="89">
        <f t="shared" ca="1" si="11"/>
        <v>1</v>
      </c>
    </row>
    <row r="719" spans="8:10" x14ac:dyDescent="0.3">
      <c r="H719" s="89">
        <v>717</v>
      </c>
      <c r="I719" s="89">
        <f t="shared" ca="1" si="11"/>
        <v>1</v>
      </c>
      <c r="J719" s="89">
        <f t="shared" ca="1" si="11"/>
        <v>1</v>
      </c>
    </row>
    <row r="720" spans="8:10" x14ac:dyDescent="0.3">
      <c r="H720" s="89">
        <v>718</v>
      </c>
      <c r="I720" s="89">
        <f t="shared" ca="1" si="11"/>
        <v>0</v>
      </c>
      <c r="J720" s="89">
        <f t="shared" ca="1" si="11"/>
        <v>1</v>
      </c>
    </row>
    <row r="721" spans="8:10" x14ac:dyDescent="0.3">
      <c r="H721" s="89">
        <v>719</v>
      </c>
      <c r="I721" s="89">
        <f t="shared" ca="1" si="11"/>
        <v>0</v>
      </c>
      <c r="J721" s="89">
        <f t="shared" ca="1" si="11"/>
        <v>0</v>
      </c>
    </row>
    <row r="722" spans="8:10" x14ac:dyDescent="0.3">
      <c r="H722" s="89">
        <v>720</v>
      </c>
      <c r="I722" s="89">
        <f t="shared" ca="1" si="11"/>
        <v>0</v>
      </c>
      <c r="J722" s="89">
        <f t="shared" ca="1" si="11"/>
        <v>1</v>
      </c>
    </row>
    <row r="723" spans="8:10" x14ac:dyDescent="0.3">
      <c r="H723" s="89">
        <v>721</v>
      </c>
      <c r="I723" s="89">
        <f t="shared" ca="1" si="11"/>
        <v>0</v>
      </c>
      <c r="J723" s="89">
        <f t="shared" ca="1" si="11"/>
        <v>0</v>
      </c>
    </row>
    <row r="724" spans="8:10" x14ac:dyDescent="0.3">
      <c r="H724" s="89">
        <v>722</v>
      </c>
      <c r="I724" s="89">
        <f t="shared" ca="1" si="11"/>
        <v>1</v>
      </c>
      <c r="J724" s="89">
        <f t="shared" ca="1" si="11"/>
        <v>1</v>
      </c>
    </row>
    <row r="725" spans="8:10" x14ac:dyDescent="0.3">
      <c r="H725" s="89">
        <v>723</v>
      </c>
      <c r="I725" s="89">
        <f t="shared" ca="1" si="11"/>
        <v>0</v>
      </c>
      <c r="J725" s="89">
        <f t="shared" ca="1" si="11"/>
        <v>0</v>
      </c>
    </row>
    <row r="726" spans="8:10" x14ac:dyDescent="0.3">
      <c r="H726" s="89">
        <v>724</v>
      </c>
      <c r="I726" s="89">
        <f t="shared" ca="1" si="11"/>
        <v>1</v>
      </c>
      <c r="J726" s="89">
        <f t="shared" ca="1" si="11"/>
        <v>0</v>
      </c>
    </row>
    <row r="727" spans="8:10" x14ac:dyDescent="0.3">
      <c r="H727" s="89">
        <v>725</v>
      </c>
      <c r="I727" s="89">
        <f t="shared" ca="1" si="11"/>
        <v>1</v>
      </c>
      <c r="J727" s="89">
        <f t="shared" ca="1" si="11"/>
        <v>0</v>
      </c>
    </row>
    <row r="728" spans="8:10" x14ac:dyDescent="0.3">
      <c r="H728" s="89">
        <v>726</v>
      </c>
      <c r="I728" s="89">
        <f t="shared" ca="1" si="11"/>
        <v>1</v>
      </c>
      <c r="J728" s="89">
        <f t="shared" ca="1" si="11"/>
        <v>1</v>
      </c>
    </row>
    <row r="729" spans="8:10" x14ac:dyDescent="0.3">
      <c r="H729" s="89">
        <v>727</v>
      </c>
      <c r="I729" s="89">
        <f t="shared" ca="1" si="11"/>
        <v>0</v>
      </c>
      <c r="J729" s="89">
        <f t="shared" ca="1" si="11"/>
        <v>0</v>
      </c>
    </row>
    <row r="730" spans="8:10" x14ac:dyDescent="0.3">
      <c r="H730" s="89">
        <v>728</v>
      </c>
      <c r="I730" s="89">
        <f t="shared" ca="1" si="11"/>
        <v>0</v>
      </c>
      <c r="J730" s="89">
        <f t="shared" ca="1" si="11"/>
        <v>1</v>
      </c>
    </row>
    <row r="731" spans="8:10" x14ac:dyDescent="0.3">
      <c r="H731" s="89">
        <v>729</v>
      </c>
      <c r="I731" s="89">
        <f t="shared" ca="1" si="11"/>
        <v>0</v>
      </c>
      <c r="J731" s="89">
        <f t="shared" ca="1" si="11"/>
        <v>1</v>
      </c>
    </row>
    <row r="732" spans="8:10" x14ac:dyDescent="0.3">
      <c r="H732" s="89">
        <v>730</v>
      </c>
      <c r="I732" s="89">
        <f t="shared" ca="1" si="11"/>
        <v>0</v>
      </c>
      <c r="J732" s="89">
        <f t="shared" ca="1" si="11"/>
        <v>1</v>
      </c>
    </row>
    <row r="733" spans="8:10" x14ac:dyDescent="0.3">
      <c r="H733" s="89">
        <v>731</v>
      </c>
      <c r="I733" s="89">
        <f t="shared" ca="1" si="11"/>
        <v>1</v>
      </c>
      <c r="J733" s="89">
        <f t="shared" ca="1" si="11"/>
        <v>0</v>
      </c>
    </row>
    <row r="734" spans="8:10" x14ac:dyDescent="0.3">
      <c r="H734" s="89">
        <v>732</v>
      </c>
      <c r="I734" s="89">
        <f t="shared" ca="1" si="11"/>
        <v>0</v>
      </c>
      <c r="J734" s="89">
        <f t="shared" ca="1" si="11"/>
        <v>0</v>
      </c>
    </row>
    <row r="735" spans="8:10" x14ac:dyDescent="0.3">
      <c r="H735" s="89">
        <v>733</v>
      </c>
      <c r="I735" s="89">
        <f t="shared" ca="1" si="11"/>
        <v>0</v>
      </c>
      <c r="J735" s="89">
        <f t="shared" ca="1" si="11"/>
        <v>0</v>
      </c>
    </row>
    <row r="736" spans="8:10" x14ac:dyDescent="0.3">
      <c r="H736" s="89">
        <v>734</v>
      </c>
      <c r="I736" s="89">
        <f t="shared" ca="1" si="11"/>
        <v>1</v>
      </c>
      <c r="J736" s="89">
        <f t="shared" ca="1" si="11"/>
        <v>0</v>
      </c>
    </row>
    <row r="737" spans="8:10" x14ac:dyDescent="0.3">
      <c r="H737" s="89">
        <v>735</v>
      </c>
      <c r="I737" s="89">
        <f t="shared" ca="1" si="11"/>
        <v>1</v>
      </c>
      <c r="J737" s="89">
        <f t="shared" ca="1" si="11"/>
        <v>1</v>
      </c>
    </row>
    <row r="738" spans="8:10" x14ac:dyDescent="0.3">
      <c r="H738" s="89">
        <v>736</v>
      </c>
      <c r="I738" s="89">
        <f t="shared" ca="1" si="11"/>
        <v>1</v>
      </c>
      <c r="J738" s="89">
        <f t="shared" ca="1" si="11"/>
        <v>0</v>
      </c>
    </row>
    <row r="739" spans="8:10" x14ac:dyDescent="0.3">
      <c r="H739" s="89">
        <v>737</v>
      </c>
      <c r="I739" s="89">
        <f t="shared" ca="1" si="11"/>
        <v>0</v>
      </c>
      <c r="J739" s="89">
        <f t="shared" ca="1" si="11"/>
        <v>0</v>
      </c>
    </row>
    <row r="740" spans="8:10" x14ac:dyDescent="0.3">
      <c r="H740" s="89">
        <v>738</v>
      </c>
      <c r="I740" s="89">
        <f t="shared" ca="1" si="11"/>
        <v>0</v>
      </c>
      <c r="J740" s="89">
        <f t="shared" ca="1" si="11"/>
        <v>1</v>
      </c>
    </row>
    <row r="741" spans="8:10" x14ac:dyDescent="0.3">
      <c r="H741" s="89">
        <v>739</v>
      </c>
      <c r="I741" s="89">
        <f t="shared" ca="1" si="11"/>
        <v>1</v>
      </c>
      <c r="J741" s="89">
        <f t="shared" ca="1" si="11"/>
        <v>1</v>
      </c>
    </row>
    <row r="742" spans="8:10" x14ac:dyDescent="0.3">
      <c r="H742" s="89">
        <v>740</v>
      </c>
      <c r="I742" s="89">
        <f t="shared" ca="1" si="11"/>
        <v>0</v>
      </c>
      <c r="J742" s="89">
        <f t="shared" ca="1" si="11"/>
        <v>0</v>
      </c>
    </row>
    <row r="743" spans="8:10" x14ac:dyDescent="0.3">
      <c r="H743" s="89">
        <v>741</v>
      </c>
      <c r="I743" s="89">
        <f t="shared" ca="1" si="11"/>
        <v>1</v>
      </c>
      <c r="J743" s="89">
        <f t="shared" ca="1" si="11"/>
        <v>0</v>
      </c>
    </row>
    <row r="744" spans="8:10" x14ac:dyDescent="0.3">
      <c r="H744" s="89">
        <v>742</v>
      </c>
      <c r="I744" s="89">
        <f t="shared" ca="1" si="11"/>
        <v>0</v>
      </c>
      <c r="J744" s="89">
        <f t="shared" ca="1" si="11"/>
        <v>0</v>
      </c>
    </row>
    <row r="745" spans="8:10" x14ac:dyDescent="0.3">
      <c r="H745" s="89">
        <v>743</v>
      </c>
      <c r="I745" s="89">
        <f t="shared" ca="1" si="11"/>
        <v>1</v>
      </c>
      <c r="J745" s="89">
        <f t="shared" ca="1" si="11"/>
        <v>0</v>
      </c>
    </row>
    <row r="746" spans="8:10" x14ac:dyDescent="0.3">
      <c r="H746" s="89">
        <v>744</v>
      </c>
      <c r="I746" s="89">
        <f t="shared" ca="1" si="11"/>
        <v>1</v>
      </c>
      <c r="J746" s="89">
        <f t="shared" ca="1" si="11"/>
        <v>1</v>
      </c>
    </row>
    <row r="747" spans="8:10" x14ac:dyDescent="0.3">
      <c r="H747" s="89">
        <v>745</v>
      </c>
      <c r="I747" s="89">
        <f t="shared" ca="1" si="11"/>
        <v>0</v>
      </c>
      <c r="J747" s="89">
        <f t="shared" ca="1" si="11"/>
        <v>1</v>
      </c>
    </row>
    <row r="748" spans="8:10" x14ac:dyDescent="0.3">
      <c r="H748" s="89">
        <v>746</v>
      </c>
      <c r="I748" s="89">
        <f t="shared" ca="1" si="11"/>
        <v>0</v>
      </c>
      <c r="J748" s="89">
        <f t="shared" ca="1" si="11"/>
        <v>0</v>
      </c>
    </row>
    <row r="749" spans="8:10" x14ac:dyDescent="0.3">
      <c r="H749" s="89">
        <v>747</v>
      </c>
      <c r="I749" s="89">
        <f t="shared" ca="1" si="11"/>
        <v>0</v>
      </c>
      <c r="J749" s="89">
        <f t="shared" ca="1" si="11"/>
        <v>1</v>
      </c>
    </row>
    <row r="750" spans="8:10" x14ac:dyDescent="0.3">
      <c r="H750" s="89">
        <v>748</v>
      </c>
      <c r="I750" s="89">
        <f t="shared" ca="1" si="11"/>
        <v>0</v>
      </c>
      <c r="J750" s="89">
        <f t="shared" ca="1" si="11"/>
        <v>1</v>
      </c>
    </row>
    <row r="751" spans="8:10" x14ac:dyDescent="0.3">
      <c r="H751" s="89">
        <v>749</v>
      </c>
      <c r="I751" s="89">
        <f t="shared" ca="1" si="11"/>
        <v>0</v>
      </c>
      <c r="J751" s="89">
        <f t="shared" ca="1" si="11"/>
        <v>0</v>
      </c>
    </row>
    <row r="752" spans="8:10" x14ac:dyDescent="0.3">
      <c r="H752" s="89">
        <v>750</v>
      </c>
      <c r="I752" s="89">
        <f t="shared" ca="1" si="11"/>
        <v>0</v>
      </c>
      <c r="J752" s="89">
        <f t="shared" ca="1" si="11"/>
        <v>1</v>
      </c>
    </row>
    <row r="753" spans="8:10" x14ac:dyDescent="0.3">
      <c r="H753" s="89">
        <v>751</v>
      </c>
      <c r="I753" s="89">
        <f t="shared" ca="1" si="11"/>
        <v>0</v>
      </c>
      <c r="J753" s="89">
        <f t="shared" ca="1" si="11"/>
        <v>1</v>
      </c>
    </row>
    <row r="754" spans="8:10" x14ac:dyDescent="0.3">
      <c r="H754" s="89">
        <v>752</v>
      </c>
      <c r="I754" s="89">
        <f t="shared" ca="1" si="11"/>
        <v>1</v>
      </c>
      <c r="J754" s="89">
        <f t="shared" ca="1" si="11"/>
        <v>1</v>
      </c>
    </row>
    <row r="755" spans="8:10" x14ac:dyDescent="0.3">
      <c r="H755" s="89">
        <v>753</v>
      </c>
      <c r="I755" s="89">
        <f t="shared" ca="1" si="11"/>
        <v>1</v>
      </c>
      <c r="J755" s="89">
        <f t="shared" ca="1" si="11"/>
        <v>1</v>
      </c>
    </row>
    <row r="756" spans="8:10" x14ac:dyDescent="0.3">
      <c r="H756" s="89">
        <v>754</v>
      </c>
      <c r="I756" s="89">
        <f t="shared" ca="1" si="11"/>
        <v>1</v>
      </c>
      <c r="J756" s="89">
        <f t="shared" ca="1" si="11"/>
        <v>0</v>
      </c>
    </row>
    <row r="757" spans="8:10" x14ac:dyDescent="0.3">
      <c r="H757" s="89">
        <v>755</v>
      </c>
      <c r="I757" s="89">
        <f t="shared" ca="1" si="11"/>
        <v>1</v>
      </c>
      <c r="J757" s="89">
        <f t="shared" ca="1" si="11"/>
        <v>1</v>
      </c>
    </row>
    <row r="758" spans="8:10" x14ac:dyDescent="0.3">
      <c r="H758" s="89">
        <v>756</v>
      </c>
      <c r="I758" s="89">
        <f t="shared" ca="1" si="11"/>
        <v>0</v>
      </c>
      <c r="J758" s="89">
        <f t="shared" ca="1" si="11"/>
        <v>1</v>
      </c>
    </row>
    <row r="759" spans="8:10" x14ac:dyDescent="0.3">
      <c r="H759" s="89">
        <v>757</v>
      </c>
      <c r="I759" s="89">
        <f t="shared" ca="1" si="11"/>
        <v>0</v>
      </c>
      <c r="J759" s="89">
        <f t="shared" ca="1" si="11"/>
        <v>0</v>
      </c>
    </row>
    <row r="760" spans="8:10" x14ac:dyDescent="0.3">
      <c r="H760" s="89">
        <v>758</v>
      </c>
      <c r="I760" s="89">
        <f t="shared" ca="1" si="11"/>
        <v>0</v>
      </c>
      <c r="J760" s="89">
        <f t="shared" ca="1" si="11"/>
        <v>1</v>
      </c>
    </row>
    <row r="761" spans="8:10" x14ac:dyDescent="0.3">
      <c r="H761" s="89">
        <v>759</v>
      </c>
      <c r="I761" s="89">
        <f t="shared" ca="1" si="11"/>
        <v>1</v>
      </c>
      <c r="J761" s="89">
        <f t="shared" ca="1" si="11"/>
        <v>0</v>
      </c>
    </row>
    <row r="762" spans="8:10" x14ac:dyDescent="0.3">
      <c r="H762" s="89">
        <v>760</v>
      </c>
      <c r="I762" s="89">
        <f t="shared" ca="1" si="11"/>
        <v>0</v>
      </c>
      <c r="J762" s="89">
        <f t="shared" ca="1" si="11"/>
        <v>0</v>
      </c>
    </row>
    <row r="763" spans="8:10" x14ac:dyDescent="0.3">
      <c r="H763" s="89">
        <v>761</v>
      </c>
      <c r="I763" s="89">
        <f t="shared" ca="1" si="11"/>
        <v>1</v>
      </c>
      <c r="J763" s="89">
        <f t="shared" ca="1" si="11"/>
        <v>0</v>
      </c>
    </row>
    <row r="764" spans="8:10" x14ac:dyDescent="0.3">
      <c r="H764" s="89">
        <v>762</v>
      </c>
      <c r="I764" s="89">
        <f t="shared" ca="1" si="11"/>
        <v>1</v>
      </c>
      <c r="J764" s="89">
        <f t="shared" ca="1" si="11"/>
        <v>0</v>
      </c>
    </row>
    <row r="765" spans="8:10" x14ac:dyDescent="0.3">
      <c r="H765" s="89">
        <v>763</v>
      </c>
      <c r="I765" s="89">
        <f t="shared" ca="1" si="11"/>
        <v>0</v>
      </c>
      <c r="J765" s="89">
        <f t="shared" ca="1" si="11"/>
        <v>1</v>
      </c>
    </row>
    <row r="766" spans="8:10" x14ac:dyDescent="0.3">
      <c r="H766" s="89">
        <v>764</v>
      </c>
      <c r="I766" s="89">
        <f t="shared" ca="1" si="11"/>
        <v>1</v>
      </c>
      <c r="J766" s="89">
        <f t="shared" ca="1" si="11"/>
        <v>1</v>
      </c>
    </row>
    <row r="767" spans="8:10" x14ac:dyDescent="0.3">
      <c r="H767" s="89">
        <v>765</v>
      </c>
      <c r="I767" s="89">
        <f t="shared" ca="1" si="11"/>
        <v>0</v>
      </c>
      <c r="J767" s="89">
        <f t="shared" ca="1" si="11"/>
        <v>0</v>
      </c>
    </row>
    <row r="768" spans="8:10" x14ac:dyDescent="0.3">
      <c r="H768" s="89">
        <v>766</v>
      </c>
      <c r="I768" s="89">
        <f t="shared" ca="1" si="11"/>
        <v>1</v>
      </c>
      <c r="J768" s="89">
        <f t="shared" ca="1" si="11"/>
        <v>1</v>
      </c>
    </row>
    <row r="769" spans="8:10" x14ac:dyDescent="0.3">
      <c r="H769" s="89">
        <v>767</v>
      </c>
      <c r="I769" s="89">
        <f t="shared" ca="1" si="11"/>
        <v>0</v>
      </c>
      <c r="J769" s="89">
        <f t="shared" ca="1" si="11"/>
        <v>0</v>
      </c>
    </row>
    <row r="770" spans="8:10" x14ac:dyDescent="0.3">
      <c r="H770" s="89">
        <v>768</v>
      </c>
      <c r="I770" s="89">
        <f t="shared" ca="1" si="11"/>
        <v>0</v>
      </c>
      <c r="J770" s="89">
        <f t="shared" ca="1" si="11"/>
        <v>0</v>
      </c>
    </row>
    <row r="771" spans="8:10" x14ac:dyDescent="0.3">
      <c r="H771" s="89">
        <v>769</v>
      </c>
      <c r="I771" s="89">
        <f t="shared" ca="1" si="11"/>
        <v>0</v>
      </c>
      <c r="J771" s="89">
        <f t="shared" ca="1" si="11"/>
        <v>1</v>
      </c>
    </row>
    <row r="772" spans="8:10" x14ac:dyDescent="0.3">
      <c r="H772" s="89">
        <v>770</v>
      </c>
      <c r="I772" s="89">
        <f t="shared" ref="I772:J835" ca="1" si="12">RANDBETWEEN(0,1)</f>
        <v>1</v>
      </c>
      <c r="J772" s="89">
        <f t="shared" ca="1" si="12"/>
        <v>1</v>
      </c>
    </row>
    <row r="773" spans="8:10" x14ac:dyDescent="0.3">
      <c r="H773" s="89">
        <v>771</v>
      </c>
      <c r="I773" s="89">
        <f t="shared" ca="1" si="12"/>
        <v>1</v>
      </c>
      <c r="J773" s="89">
        <f t="shared" ca="1" si="12"/>
        <v>0</v>
      </c>
    </row>
    <row r="774" spans="8:10" x14ac:dyDescent="0.3">
      <c r="H774" s="89">
        <v>772</v>
      </c>
      <c r="I774" s="89">
        <f t="shared" ca="1" si="12"/>
        <v>1</v>
      </c>
      <c r="J774" s="89">
        <f t="shared" ca="1" si="12"/>
        <v>0</v>
      </c>
    </row>
    <row r="775" spans="8:10" x14ac:dyDescent="0.3">
      <c r="H775" s="89">
        <v>773</v>
      </c>
      <c r="I775" s="89">
        <f t="shared" ca="1" si="12"/>
        <v>0</v>
      </c>
      <c r="J775" s="89">
        <f t="shared" ca="1" si="12"/>
        <v>0</v>
      </c>
    </row>
    <row r="776" spans="8:10" x14ac:dyDescent="0.3">
      <c r="H776" s="89">
        <v>774</v>
      </c>
      <c r="I776" s="89">
        <f t="shared" ca="1" si="12"/>
        <v>1</v>
      </c>
      <c r="J776" s="89">
        <f t="shared" ca="1" si="12"/>
        <v>1</v>
      </c>
    </row>
    <row r="777" spans="8:10" x14ac:dyDescent="0.3">
      <c r="H777" s="89">
        <v>775</v>
      </c>
      <c r="I777" s="89">
        <f t="shared" ca="1" si="12"/>
        <v>1</v>
      </c>
      <c r="J777" s="89">
        <f t="shared" ca="1" si="12"/>
        <v>1</v>
      </c>
    </row>
    <row r="778" spans="8:10" x14ac:dyDescent="0.3">
      <c r="H778" s="89">
        <v>776</v>
      </c>
      <c r="I778" s="89">
        <f t="shared" ca="1" si="12"/>
        <v>0</v>
      </c>
      <c r="J778" s="89">
        <f t="shared" ca="1" si="12"/>
        <v>0</v>
      </c>
    </row>
    <row r="779" spans="8:10" x14ac:dyDescent="0.3">
      <c r="H779" s="89">
        <v>777</v>
      </c>
      <c r="I779" s="89">
        <f t="shared" ca="1" si="12"/>
        <v>1</v>
      </c>
      <c r="J779" s="89">
        <f t="shared" ca="1" si="12"/>
        <v>0</v>
      </c>
    </row>
    <row r="780" spans="8:10" x14ac:dyDescent="0.3">
      <c r="H780" s="89">
        <v>778</v>
      </c>
      <c r="I780" s="89">
        <f t="shared" ca="1" si="12"/>
        <v>1</v>
      </c>
      <c r="J780" s="89">
        <f t="shared" ca="1" si="12"/>
        <v>1</v>
      </c>
    </row>
    <row r="781" spans="8:10" x14ac:dyDescent="0.3">
      <c r="H781" s="89">
        <v>779</v>
      </c>
      <c r="I781" s="89">
        <f t="shared" ca="1" si="12"/>
        <v>1</v>
      </c>
      <c r="J781" s="89">
        <f t="shared" ca="1" si="12"/>
        <v>1</v>
      </c>
    </row>
    <row r="782" spans="8:10" x14ac:dyDescent="0.3">
      <c r="H782" s="89">
        <v>780</v>
      </c>
      <c r="I782" s="89">
        <f t="shared" ca="1" si="12"/>
        <v>1</v>
      </c>
      <c r="J782" s="89">
        <f t="shared" ca="1" si="12"/>
        <v>0</v>
      </c>
    </row>
    <row r="783" spans="8:10" x14ac:dyDescent="0.3">
      <c r="H783" s="89">
        <v>781</v>
      </c>
      <c r="I783" s="89">
        <f t="shared" ca="1" si="12"/>
        <v>0</v>
      </c>
      <c r="J783" s="89">
        <f t="shared" ca="1" si="12"/>
        <v>0</v>
      </c>
    </row>
    <row r="784" spans="8:10" x14ac:dyDescent="0.3">
      <c r="H784" s="89">
        <v>782</v>
      </c>
      <c r="I784" s="89">
        <f t="shared" ca="1" si="12"/>
        <v>0</v>
      </c>
      <c r="J784" s="89">
        <f t="shared" ca="1" si="12"/>
        <v>0</v>
      </c>
    </row>
    <row r="785" spans="8:10" x14ac:dyDescent="0.3">
      <c r="H785" s="89">
        <v>783</v>
      </c>
      <c r="I785" s="89">
        <f t="shared" ca="1" si="12"/>
        <v>0</v>
      </c>
      <c r="J785" s="89">
        <f t="shared" ca="1" si="12"/>
        <v>0</v>
      </c>
    </row>
    <row r="786" spans="8:10" x14ac:dyDescent="0.3">
      <c r="H786" s="89">
        <v>784</v>
      </c>
      <c r="I786" s="89">
        <f t="shared" ca="1" si="12"/>
        <v>1</v>
      </c>
      <c r="J786" s="89">
        <f t="shared" ca="1" si="12"/>
        <v>1</v>
      </c>
    </row>
    <row r="787" spans="8:10" x14ac:dyDescent="0.3">
      <c r="H787" s="89">
        <v>785</v>
      </c>
      <c r="I787" s="89">
        <f t="shared" ca="1" si="12"/>
        <v>0</v>
      </c>
      <c r="J787" s="89">
        <f t="shared" ca="1" si="12"/>
        <v>1</v>
      </c>
    </row>
    <row r="788" spans="8:10" x14ac:dyDescent="0.3">
      <c r="H788" s="89">
        <v>786</v>
      </c>
      <c r="I788" s="89">
        <f t="shared" ca="1" si="12"/>
        <v>1</v>
      </c>
      <c r="J788" s="89">
        <f t="shared" ca="1" si="12"/>
        <v>0</v>
      </c>
    </row>
    <row r="789" spans="8:10" x14ac:dyDescent="0.3">
      <c r="H789" s="89">
        <v>787</v>
      </c>
      <c r="I789" s="89">
        <f t="shared" ca="1" si="12"/>
        <v>1</v>
      </c>
      <c r="J789" s="89">
        <f t="shared" ca="1" si="12"/>
        <v>1</v>
      </c>
    </row>
    <row r="790" spans="8:10" x14ac:dyDescent="0.3">
      <c r="H790" s="89">
        <v>788</v>
      </c>
      <c r="I790" s="89">
        <f t="shared" ca="1" si="12"/>
        <v>0</v>
      </c>
      <c r="J790" s="89">
        <f t="shared" ca="1" si="12"/>
        <v>1</v>
      </c>
    </row>
    <row r="791" spans="8:10" x14ac:dyDescent="0.3">
      <c r="H791" s="89">
        <v>789</v>
      </c>
      <c r="I791" s="89">
        <f t="shared" ca="1" si="12"/>
        <v>1</v>
      </c>
      <c r="J791" s="89">
        <f t="shared" ca="1" si="12"/>
        <v>0</v>
      </c>
    </row>
    <row r="792" spans="8:10" x14ac:dyDescent="0.3">
      <c r="H792" s="89">
        <v>790</v>
      </c>
      <c r="I792" s="89">
        <f t="shared" ca="1" si="12"/>
        <v>1</v>
      </c>
      <c r="J792" s="89">
        <f t="shared" ca="1" si="12"/>
        <v>0</v>
      </c>
    </row>
    <row r="793" spans="8:10" x14ac:dyDescent="0.3">
      <c r="H793" s="89">
        <v>791</v>
      </c>
      <c r="I793" s="89">
        <f t="shared" ca="1" si="12"/>
        <v>1</v>
      </c>
      <c r="J793" s="89">
        <f t="shared" ca="1" si="12"/>
        <v>1</v>
      </c>
    </row>
    <row r="794" spans="8:10" x14ac:dyDescent="0.3">
      <c r="H794" s="89">
        <v>792</v>
      </c>
      <c r="I794" s="89">
        <f t="shared" ca="1" si="12"/>
        <v>0</v>
      </c>
      <c r="J794" s="89">
        <f t="shared" ca="1" si="12"/>
        <v>1</v>
      </c>
    </row>
    <row r="795" spans="8:10" x14ac:dyDescent="0.3">
      <c r="H795" s="89">
        <v>793</v>
      </c>
      <c r="I795" s="89">
        <f t="shared" ca="1" si="12"/>
        <v>1</v>
      </c>
      <c r="J795" s="89">
        <f t="shared" ca="1" si="12"/>
        <v>1</v>
      </c>
    </row>
    <row r="796" spans="8:10" x14ac:dyDescent="0.3">
      <c r="H796" s="89">
        <v>794</v>
      </c>
      <c r="I796" s="89">
        <f t="shared" ca="1" si="12"/>
        <v>1</v>
      </c>
      <c r="J796" s="89">
        <f t="shared" ca="1" si="12"/>
        <v>1</v>
      </c>
    </row>
    <row r="797" spans="8:10" x14ac:dyDescent="0.3">
      <c r="H797" s="89">
        <v>795</v>
      </c>
      <c r="I797" s="89">
        <f t="shared" ca="1" si="12"/>
        <v>1</v>
      </c>
      <c r="J797" s="89">
        <f t="shared" ca="1" si="12"/>
        <v>1</v>
      </c>
    </row>
    <row r="798" spans="8:10" x14ac:dyDescent="0.3">
      <c r="H798" s="89">
        <v>796</v>
      </c>
      <c r="I798" s="89">
        <f t="shared" ca="1" si="12"/>
        <v>0</v>
      </c>
      <c r="J798" s="89">
        <f t="shared" ca="1" si="12"/>
        <v>0</v>
      </c>
    </row>
    <row r="799" spans="8:10" x14ac:dyDescent="0.3">
      <c r="H799" s="89">
        <v>797</v>
      </c>
      <c r="I799" s="89">
        <f t="shared" ca="1" si="12"/>
        <v>0</v>
      </c>
      <c r="J799" s="89">
        <f t="shared" ca="1" si="12"/>
        <v>1</v>
      </c>
    </row>
    <row r="800" spans="8:10" x14ac:dyDescent="0.3">
      <c r="H800" s="89">
        <v>798</v>
      </c>
      <c r="I800" s="89">
        <f t="shared" ca="1" si="12"/>
        <v>1</v>
      </c>
      <c r="J800" s="89">
        <f t="shared" ca="1" si="12"/>
        <v>1</v>
      </c>
    </row>
    <row r="801" spans="8:10" x14ac:dyDescent="0.3">
      <c r="H801" s="89">
        <v>799</v>
      </c>
      <c r="I801" s="89">
        <f t="shared" ca="1" si="12"/>
        <v>1</v>
      </c>
      <c r="J801" s="89">
        <f t="shared" ca="1" si="12"/>
        <v>1</v>
      </c>
    </row>
    <row r="802" spans="8:10" x14ac:dyDescent="0.3">
      <c r="H802" s="89">
        <v>800</v>
      </c>
      <c r="I802" s="89">
        <f t="shared" ca="1" si="12"/>
        <v>0</v>
      </c>
      <c r="J802" s="89">
        <f t="shared" ca="1" si="12"/>
        <v>0</v>
      </c>
    </row>
    <row r="803" spans="8:10" x14ac:dyDescent="0.3">
      <c r="H803" s="89">
        <v>801</v>
      </c>
      <c r="I803" s="89">
        <f t="shared" ca="1" si="12"/>
        <v>0</v>
      </c>
      <c r="J803" s="89">
        <f t="shared" ca="1" si="12"/>
        <v>0</v>
      </c>
    </row>
    <row r="804" spans="8:10" x14ac:dyDescent="0.3">
      <c r="H804" s="89">
        <v>802</v>
      </c>
      <c r="I804" s="89">
        <f t="shared" ca="1" si="12"/>
        <v>0</v>
      </c>
      <c r="J804" s="89">
        <f t="shared" ca="1" si="12"/>
        <v>0</v>
      </c>
    </row>
    <row r="805" spans="8:10" x14ac:dyDescent="0.3">
      <c r="H805" s="89">
        <v>803</v>
      </c>
      <c r="I805" s="89">
        <f t="shared" ca="1" si="12"/>
        <v>1</v>
      </c>
      <c r="J805" s="89">
        <f t="shared" ca="1" si="12"/>
        <v>0</v>
      </c>
    </row>
    <row r="806" spans="8:10" x14ac:dyDescent="0.3">
      <c r="H806" s="89">
        <v>804</v>
      </c>
      <c r="I806" s="89">
        <f t="shared" ca="1" si="12"/>
        <v>1</v>
      </c>
      <c r="J806" s="89">
        <f t="shared" ca="1" si="12"/>
        <v>1</v>
      </c>
    </row>
    <row r="807" spans="8:10" x14ac:dyDescent="0.3">
      <c r="H807" s="89">
        <v>805</v>
      </c>
      <c r="I807" s="89">
        <f t="shared" ca="1" si="12"/>
        <v>0</v>
      </c>
      <c r="J807" s="89">
        <f t="shared" ca="1" si="12"/>
        <v>0</v>
      </c>
    </row>
    <row r="808" spans="8:10" x14ac:dyDescent="0.3">
      <c r="H808" s="89">
        <v>806</v>
      </c>
      <c r="I808" s="89">
        <f t="shared" ca="1" si="12"/>
        <v>1</v>
      </c>
      <c r="J808" s="89">
        <f t="shared" ca="1" si="12"/>
        <v>1</v>
      </c>
    </row>
    <row r="809" spans="8:10" x14ac:dyDescent="0.3">
      <c r="H809" s="89">
        <v>807</v>
      </c>
      <c r="I809" s="89">
        <f t="shared" ca="1" si="12"/>
        <v>0</v>
      </c>
      <c r="J809" s="89">
        <f t="shared" ca="1" si="12"/>
        <v>1</v>
      </c>
    </row>
    <row r="810" spans="8:10" x14ac:dyDescent="0.3">
      <c r="H810" s="89">
        <v>808</v>
      </c>
      <c r="I810" s="89">
        <f t="shared" ca="1" si="12"/>
        <v>1</v>
      </c>
      <c r="J810" s="89">
        <f t="shared" ca="1" si="12"/>
        <v>0</v>
      </c>
    </row>
    <row r="811" spans="8:10" x14ac:dyDescent="0.3">
      <c r="H811" s="89">
        <v>809</v>
      </c>
      <c r="I811" s="89">
        <f t="shared" ca="1" si="12"/>
        <v>0</v>
      </c>
      <c r="J811" s="89">
        <f t="shared" ca="1" si="12"/>
        <v>1</v>
      </c>
    </row>
    <row r="812" spans="8:10" x14ac:dyDescent="0.3">
      <c r="H812" s="89">
        <v>810</v>
      </c>
      <c r="I812" s="89">
        <f t="shared" ca="1" si="12"/>
        <v>0</v>
      </c>
      <c r="J812" s="89">
        <f t="shared" ca="1" si="12"/>
        <v>0</v>
      </c>
    </row>
    <row r="813" spans="8:10" x14ac:dyDescent="0.3">
      <c r="H813" s="89">
        <v>811</v>
      </c>
      <c r="I813" s="89">
        <f t="shared" ca="1" si="12"/>
        <v>0</v>
      </c>
      <c r="J813" s="89">
        <f t="shared" ca="1" si="12"/>
        <v>1</v>
      </c>
    </row>
    <row r="814" spans="8:10" x14ac:dyDescent="0.3">
      <c r="H814" s="89">
        <v>812</v>
      </c>
      <c r="I814" s="89">
        <f t="shared" ca="1" si="12"/>
        <v>0</v>
      </c>
      <c r="J814" s="89">
        <f t="shared" ca="1" si="12"/>
        <v>1</v>
      </c>
    </row>
    <row r="815" spans="8:10" x14ac:dyDescent="0.3">
      <c r="H815" s="89">
        <v>813</v>
      </c>
      <c r="I815" s="89">
        <f t="shared" ca="1" si="12"/>
        <v>1</v>
      </c>
      <c r="J815" s="89">
        <f t="shared" ca="1" si="12"/>
        <v>0</v>
      </c>
    </row>
    <row r="816" spans="8:10" x14ac:dyDescent="0.3">
      <c r="H816" s="89">
        <v>814</v>
      </c>
      <c r="I816" s="89">
        <f t="shared" ca="1" si="12"/>
        <v>1</v>
      </c>
      <c r="J816" s="89">
        <f t="shared" ca="1" si="12"/>
        <v>0</v>
      </c>
    </row>
    <row r="817" spans="8:10" x14ac:dyDescent="0.3">
      <c r="H817" s="89">
        <v>815</v>
      </c>
      <c r="I817" s="89">
        <f t="shared" ca="1" si="12"/>
        <v>1</v>
      </c>
      <c r="J817" s="89">
        <f t="shared" ca="1" si="12"/>
        <v>1</v>
      </c>
    </row>
    <row r="818" spans="8:10" x14ac:dyDescent="0.3">
      <c r="H818" s="89">
        <v>816</v>
      </c>
      <c r="I818" s="89">
        <f t="shared" ca="1" si="12"/>
        <v>1</v>
      </c>
      <c r="J818" s="89">
        <f t="shared" ca="1" si="12"/>
        <v>0</v>
      </c>
    </row>
    <row r="819" spans="8:10" x14ac:dyDescent="0.3">
      <c r="H819" s="89">
        <v>817</v>
      </c>
      <c r="I819" s="89">
        <f t="shared" ca="1" si="12"/>
        <v>0</v>
      </c>
      <c r="J819" s="89">
        <f t="shared" ca="1" si="12"/>
        <v>1</v>
      </c>
    </row>
    <row r="820" spans="8:10" x14ac:dyDescent="0.3">
      <c r="H820" s="89">
        <v>818</v>
      </c>
      <c r="I820" s="89">
        <f t="shared" ca="1" si="12"/>
        <v>0</v>
      </c>
      <c r="J820" s="89">
        <f t="shared" ca="1" si="12"/>
        <v>1</v>
      </c>
    </row>
    <row r="821" spans="8:10" x14ac:dyDescent="0.3">
      <c r="H821" s="89">
        <v>819</v>
      </c>
      <c r="I821" s="89">
        <f t="shared" ca="1" si="12"/>
        <v>0</v>
      </c>
      <c r="J821" s="89">
        <f t="shared" ca="1" si="12"/>
        <v>1</v>
      </c>
    </row>
    <row r="822" spans="8:10" x14ac:dyDescent="0.3">
      <c r="H822" s="89">
        <v>820</v>
      </c>
      <c r="I822" s="89">
        <f t="shared" ca="1" si="12"/>
        <v>0</v>
      </c>
      <c r="J822" s="89">
        <f t="shared" ca="1" si="12"/>
        <v>1</v>
      </c>
    </row>
    <row r="823" spans="8:10" x14ac:dyDescent="0.3">
      <c r="H823" s="89">
        <v>821</v>
      </c>
      <c r="I823" s="89">
        <f t="shared" ca="1" si="12"/>
        <v>0</v>
      </c>
      <c r="J823" s="89">
        <f t="shared" ca="1" si="12"/>
        <v>1</v>
      </c>
    </row>
    <row r="824" spans="8:10" x14ac:dyDescent="0.3">
      <c r="H824" s="89">
        <v>822</v>
      </c>
      <c r="I824" s="89">
        <f t="shared" ca="1" si="12"/>
        <v>1</v>
      </c>
      <c r="J824" s="89">
        <f t="shared" ca="1" si="12"/>
        <v>0</v>
      </c>
    </row>
    <row r="825" spans="8:10" x14ac:dyDescent="0.3">
      <c r="H825" s="89">
        <v>823</v>
      </c>
      <c r="I825" s="89">
        <f t="shared" ca="1" si="12"/>
        <v>1</v>
      </c>
      <c r="J825" s="89">
        <f t="shared" ca="1" si="12"/>
        <v>0</v>
      </c>
    </row>
    <row r="826" spans="8:10" x14ac:dyDescent="0.3">
      <c r="H826" s="89">
        <v>824</v>
      </c>
      <c r="I826" s="89">
        <f t="shared" ca="1" si="12"/>
        <v>0</v>
      </c>
      <c r="J826" s="89">
        <f t="shared" ca="1" si="12"/>
        <v>1</v>
      </c>
    </row>
    <row r="827" spans="8:10" x14ac:dyDescent="0.3">
      <c r="H827" s="89">
        <v>825</v>
      </c>
      <c r="I827" s="89">
        <f t="shared" ca="1" si="12"/>
        <v>1</v>
      </c>
      <c r="J827" s="89">
        <f t="shared" ca="1" si="12"/>
        <v>1</v>
      </c>
    </row>
    <row r="828" spans="8:10" x14ac:dyDescent="0.3">
      <c r="H828" s="89">
        <v>826</v>
      </c>
      <c r="I828" s="89">
        <f t="shared" ca="1" si="12"/>
        <v>0</v>
      </c>
      <c r="J828" s="89">
        <f t="shared" ca="1" si="12"/>
        <v>0</v>
      </c>
    </row>
    <row r="829" spans="8:10" x14ac:dyDescent="0.3">
      <c r="H829" s="89">
        <v>827</v>
      </c>
      <c r="I829" s="89">
        <f t="shared" ca="1" si="12"/>
        <v>1</v>
      </c>
      <c r="J829" s="89">
        <f t="shared" ca="1" si="12"/>
        <v>1</v>
      </c>
    </row>
    <row r="830" spans="8:10" x14ac:dyDescent="0.3">
      <c r="H830" s="89">
        <v>828</v>
      </c>
      <c r="I830" s="89">
        <f t="shared" ca="1" si="12"/>
        <v>1</v>
      </c>
      <c r="J830" s="89">
        <f t="shared" ca="1" si="12"/>
        <v>1</v>
      </c>
    </row>
    <row r="831" spans="8:10" x14ac:dyDescent="0.3">
      <c r="H831" s="89">
        <v>829</v>
      </c>
      <c r="I831" s="89">
        <f t="shared" ca="1" si="12"/>
        <v>0</v>
      </c>
      <c r="J831" s="89">
        <f t="shared" ca="1" si="12"/>
        <v>0</v>
      </c>
    </row>
    <row r="832" spans="8:10" x14ac:dyDescent="0.3">
      <c r="H832" s="89">
        <v>830</v>
      </c>
      <c r="I832" s="89">
        <f t="shared" ca="1" si="12"/>
        <v>1</v>
      </c>
      <c r="J832" s="89">
        <f t="shared" ca="1" si="12"/>
        <v>0</v>
      </c>
    </row>
    <row r="833" spans="8:10" x14ac:dyDescent="0.3">
      <c r="H833" s="89">
        <v>831</v>
      </c>
      <c r="I833" s="89">
        <f t="shared" ca="1" si="12"/>
        <v>1</v>
      </c>
      <c r="J833" s="89">
        <f t="shared" ca="1" si="12"/>
        <v>1</v>
      </c>
    </row>
    <row r="834" spans="8:10" x14ac:dyDescent="0.3">
      <c r="H834" s="89">
        <v>832</v>
      </c>
      <c r="I834" s="89">
        <f t="shared" ca="1" si="12"/>
        <v>1</v>
      </c>
      <c r="J834" s="89">
        <f t="shared" ca="1" si="12"/>
        <v>1</v>
      </c>
    </row>
    <row r="835" spans="8:10" x14ac:dyDescent="0.3">
      <c r="H835" s="89">
        <v>833</v>
      </c>
      <c r="I835" s="89">
        <f t="shared" ca="1" si="12"/>
        <v>0</v>
      </c>
      <c r="J835" s="89">
        <f t="shared" ca="1" si="12"/>
        <v>1</v>
      </c>
    </row>
    <row r="836" spans="8:10" x14ac:dyDescent="0.3">
      <c r="H836" s="89">
        <v>834</v>
      </c>
      <c r="I836" s="89">
        <f t="shared" ref="I836:J899" ca="1" si="13">RANDBETWEEN(0,1)</f>
        <v>0</v>
      </c>
      <c r="J836" s="89">
        <f t="shared" ca="1" si="13"/>
        <v>1</v>
      </c>
    </row>
    <row r="837" spans="8:10" x14ac:dyDescent="0.3">
      <c r="H837" s="89">
        <v>835</v>
      </c>
      <c r="I837" s="89">
        <f t="shared" ca="1" si="13"/>
        <v>1</v>
      </c>
      <c r="J837" s="89">
        <f t="shared" ca="1" si="13"/>
        <v>0</v>
      </c>
    </row>
    <row r="838" spans="8:10" x14ac:dyDescent="0.3">
      <c r="H838" s="89">
        <v>836</v>
      </c>
      <c r="I838" s="89">
        <f t="shared" ca="1" si="13"/>
        <v>1</v>
      </c>
      <c r="J838" s="89">
        <f t="shared" ca="1" si="13"/>
        <v>1</v>
      </c>
    </row>
    <row r="839" spans="8:10" x14ac:dyDescent="0.3">
      <c r="H839" s="89">
        <v>837</v>
      </c>
      <c r="I839" s="89">
        <f t="shared" ca="1" si="13"/>
        <v>1</v>
      </c>
      <c r="J839" s="89">
        <f t="shared" ca="1" si="13"/>
        <v>0</v>
      </c>
    </row>
    <row r="840" spans="8:10" x14ac:dyDescent="0.3">
      <c r="H840" s="89">
        <v>838</v>
      </c>
      <c r="I840" s="89">
        <f t="shared" ca="1" si="13"/>
        <v>1</v>
      </c>
      <c r="J840" s="89">
        <f t="shared" ca="1" si="13"/>
        <v>1</v>
      </c>
    </row>
    <row r="841" spans="8:10" x14ac:dyDescent="0.3">
      <c r="H841" s="89">
        <v>839</v>
      </c>
      <c r="I841" s="89">
        <f t="shared" ca="1" si="13"/>
        <v>0</v>
      </c>
      <c r="J841" s="89">
        <f t="shared" ca="1" si="13"/>
        <v>0</v>
      </c>
    </row>
    <row r="842" spans="8:10" x14ac:dyDescent="0.3">
      <c r="H842" s="89">
        <v>840</v>
      </c>
      <c r="I842" s="89">
        <f t="shared" ca="1" si="13"/>
        <v>1</v>
      </c>
      <c r="J842" s="89">
        <f t="shared" ca="1" si="13"/>
        <v>1</v>
      </c>
    </row>
    <row r="843" spans="8:10" x14ac:dyDescent="0.3">
      <c r="H843" s="89">
        <v>841</v>
      </c>
      <c r="I843" s="89">
        <f t="shared" ca="1" si="13"/>
        <v>1</v>
      </c>
      <c r="J843" s="89">
        <f t="shared" ca="1" si="13"/>
        <v>0</v>
      </c>
    </row>
    <row r="844" spans="8:10" x14ac:dyDescent="0.3">
      <c r="H844" s="89">
        <v>842</v>
      </c>
      <c r="I844" s="89">
        <f t="shared" ca="1" si="13"/>
        <v>1</v>
      </c>
      <c r="J844" s="89">
        <f t="shared" ca="1" si="13"/>
        <v>0</v>
      </c>
    </row>
    <row r="845" spans="8:10" x14ac:dyDescent="0.3">
      <c r="H845" s="89">
        <v>843</v>
      </c>
      <c r="I845" s="89">
        <f t="shared" ca="1" si="13"/>
        <v>1</v>
      </c>
      <c r="J845" s="89">
        <f t="shared" ca="1" si="13"/>
        <v>0</v>
      </c>
    </row>
    <row r="846" spans="8:10" x14ac:dyDescent="0.3">
      <c r="H846" s="89">
        <v>844</v>
      </c>
      <c r="I846" s="89">
        <f t="shared" ca="1" si="13"/>
        <v>0</v>
      </c>
      <c r="J846" s="89">
        <f t="shared" ca="1" si="13"/>
        <v>1</v>
      </c>
    </row>
    <row r="847" spans="8:10" x14ac:dyDescent="0.3">
      <c r="H847" s="89">
        <v>845</v>
      </c>
      <c r="I847" s="89">
        <f t="shared" ca="1" si="13"/>
        <v>1</v>
      </c>
      <c r="J847" s="89">
        <f t="shared" ca="1" si="13"/>
        <v>1</v>
      </c>
    </row>
    <row r="848" spans="8:10" x14ac:dyDescent="0.3">
      <c r="H848" s="89">
        <v>846</v>
      </c>
      <c r="I848" s="89">
        <f t="shared" ca="1" si="13"/>
        <v>1</v>
      </c>
      <c r="J848" s="89">
        <f t="shared" ca="1" si="13"/>
        <v>1</v>
      </c>
    </row>
    <row r="849" spans="8:10" x14ac:dyDescent="0.3">
      <c r="H849" s="89">
        <v>847</v>
      </c>
      <c r="I849" s="89">
        <f t="shared" ca="1" si="13"/>
        <v>1</v>
      </c>
      <c r="J849" s="89">
        <f t="shared" ca="1" si="13"/>
        <v>0</v>
      </c>
    </row>
    <row r="850" spans="8:10" x14ac:dyDescent="0.3">
      <c r="H850" s="89">
        <v>848</v>
      </c>
      <c r="I850" s="89">
        <f t="shared" ca="1" si="13"/>
        <v>1</v>
      </c>
      <c r="J850" s="89">
        <f t="shared" ca="1" si="13"/>
        <v>1</v>
      </c>
    </row>
    <row r="851" spans="8:10" x14ac:dyDescent="0.3">
      <c r="H851" s="89">
        <v>849</v>
      </c>
      <c r="I851" s="89">
        <f t="shared" ca="1" si="13"/>
        <v>1</v>
      </c>
      <c r="J851" s="89">
        <f t="shared" ca="1" si="13"/>
        <v>0</v>
      </c>
    </row>
    <row r="852" spans="8:10" x14ac:dyDescent="0.3">
      <c r="H852" s="89">
        <v>850</v>
      </c>
      <c r="I852" s="89">
        <f t="shared" ca="1" si="13"/>
        <v>1</v>
      </c>
      <c r="J852" s="89">
        <f t="shared" ca="1" si="13"/>
        <v>0</v>
      </c>
    </row>
    <row r="853" spans="8:10" x14ac:dyDescent="0.3">
      <c r="H853" s="89">
        <v>851</v>
      </c>
      <c r="I853" s="89">
        <f t="shared" ca="1" si="13"/>
        <v>1</v>
      </c>
      <c r="J853" s="89">
        <f t="shared" ca="1" si="13"/>
        <v>1</v>
      </c>
    </row>
    <row r="854" spans="8:10" x14ac:dyDescent="0.3">
      <c r="H854" s="89">
        <v>852</v>
      </c>
      <c r="I854" s="89">
        <f t="shared" ca="1" si="13"/>
        <v>0</v>
      </c>
      <c r="J854" s="89">
        <f t="shared" ca="1" si="13"/>
        <v>1</v>
      </c>
    </row>
    <row r="855" spans="8:10" x14ac:dyDescent="0.3">
      <c r="H855" s="89">
        <v>853</v>
      </c>
      <c r="I855" s="89">
        <f t="shared" ca="1" si="13"/>
        <v>0</v>
      </c>
      <c r="J855" s="89">
        <f t="shared" ca="1" si="13"/>
        <v>0</v>
      </c>
    </row>
    <row r="856" spans="8:10" x14ac:dyDescent="0.3">
      <c r="H856" s="89">
        <v>854</v>
      </c>
      <c r="I856" s="89">
        <f t="shared" ca="1" si="13"/>
        <v>1</v>
      </c>
      <c r="J856" s="89">
        <f t="shared" ca="1" si="13"/>
        <v>1</v>
      </c>
    </row>
    <row r="857" spans="8:10" x14ac:dyDescent="0.3">
      <c r="H857" s="89">
        <v>855</v>
      </c>
      <c r="I857" s="89">
        <f t="shared" ca="1" si="13"/>
        <v>0</v>
      </c>
      <c r="J857" s="89">
        <f t="shared" ca="1" si="13"/>
        <v>0</v>
      </c>
    </row>
    <row r="858" spans="8:10" x14ac:dyDescent="0.3">
      <c r="H858" s="89">
        <v>856</v>
      </c>
      <c r="I858" s="89">
        <f t="shared" ca="1" si="13"/>
        <v>1</v>
      </c>
      <c r="J858" s="89">
        <f t="shared" ca="1" si="13"/>
        <v>0</v>
      </c>
    </row>
    <row r="859" spans="8:10" x14ac:dyDescent="0.3">
      <c r="H859" s="89">
        <v>857</v>
      </c>
      <c r="I859" s="89">
        <f t="shared" ca="1" si="13"/>
        <v>1</v>
      </c>
      <c r="J859" s="89">
        <f t="shared" ca="1" si="13"/>
        <v>1</v>
      </c>
    </row>
    <row r="860" spans="8:10" x14ac:dyDescent="0.3">
      <c r="H860" s="89">
        <v>858</v>
      </c>
      <c r="I860" s="89">
        <f t="shared" ca="1" si="13"/>
        <v>0</v>
      </c>
      <c r="J860" s="89">
        <f t="shared" ca="1" si="13"/>
        <v>0</v>
      </c>
    </row>
    <row r="861" spans="8:10" x14ac:dyDescent="0.3">
      <c r="H861" s="89">
        <v>859</v>
      </c>
      <c r="I861" s="89">
        <f t="shared" ca="1" si="13"/>
        <v>1</v>
      </c>
      <c r="J861" s="89">
        <f t="shared" ca="1" si="13"/>
        <v>1</v>
      </c>
    </row>
    <row r="862" spans="8:10" x14ac:dyDescent="0.3">
      <c r="H862" s="89">
        <v>860</v>
      </c>
      <c r="I862" s="89">
        <f t="shared" ca="1" si="13"/>
        <v>0</v>
      </c>
      <c r="J862" s="89">
        <f t="shared" ca="1" si="13"/>
        <v>1</v>
      </c>
    </row>
    <row r="863" spans="8:10" x14ac:dyDescent="0.3">
      <c r="H863" s="89">
        <v>861</v>
      </c>
      <c r="I863" s="89">
        <f t="shared" ca="1" si="13"/>
        <v>0</v>
      </c>
      <c r="J863" s="89">
        <f t="shared" ca="1" si="13"/>
        <v>0</v>
      </c>
    </row>
    <row r="864" spans="8:10" x14ac:dyDescent="0.3">
      <c r="H864" s="89">
        <v>862</v>
      </c>
      <c r="I864" s="89">
        <f t="shared" ca="1" si="13"/>
        <v>1</v>
      </c>
      <c r="J864" s="89">
        <f t="shared" ca="1" si="13"/>
        <v>1</v>
      </c>
    </row>
    <row r="865" spans="8:10" x14ac:dyDescent="0.3">
      <c r="H865" s="89">
        <v>863</v>
      </c>
      <c r="I865" s="89">
        <f t="shared" ca="1" si="13"/>
        <v>1</v>
      </c>
      <c r="J865" s="89">
        <f t="shared" ca="1" si="13"/>
        <v>1</v>
      </c>
    </row>
    <row r="866" spans="8:10" x14ac:dyDescent="0.3">
      <c r="H866" s="89">
        <v>864</v>
      </c>
      <c r="I866" s="89">
        <f t="shared" ca="1" si="13"/>
        <v>1</v>
      </c>
      <c r="J866" s="89">
        <f t="shared" ca="1" si="13"/>
        <v>1</v>
      </c>
    </row>
    <row r="867" spans="8:10" x14ac:dyDescent="0.3">
      <c r="H867" s="89">
        <v>865</v>
      </c>
      <c r="I867" s="89">
        <f t="shared" ca="1" si="13"/>
        <v>0</v>
      </c>
      <c r="J867" s="89">
        <f t="shared" ca="1" si="13"/>
        <v>1</v>
      </c>
    </row>
    <row r="868" spans="8:10" x14ac:dyDescent="0.3">
      <c r="H868" s="89">
        <v>866</v>
      </c>
      <c r="I868" s="89">
        <f t="shared" ca="1" si="13"/>
        <v>0</v>
      </c>
      <c r="J868" s="89">
        <f t="shared" ca="1" si="13"/>
        <v>1</v>
      </c>
    </row>
    <row r="869" spans="8:10" x14ac:dyDescent="0.3">
      <c r="H869" s="89">
        <v>867</v>
      </c>
      <c r="I869" s="89">
        <f t="shared" ca="1" si="13"/>
        <v>1</v>
      </c>
      <c r="J869" s="89">
        <f t="shared" ca="1" si="13"/>
        <v>0</v>
      </c>
    </row>
    <row r="870" spans="8:10" x14ac:dyDescent="0.3">
      <c r="H870" s="89">
        <v>868</v>
      </c>
      <c r="I870" s="89">
        <f t="shared" ca="1" si="13"/>
        <v>0</v>
      </c>
      <c r="J870" s="89">
        <f t="shared" ca="1" si="13"/>
        <v>1</v>
      </c>
    </row>
    <row r="871" spans="8:10" x14ac:dyDescent="0.3">
      <c r="H871" s="89">
        <v>869</v>
      </c>
      <c r="I871" s="89">
        <f t="shared" ca="1" si="13"/>
        <v>0</v>
      </c>
      <c r="J871" s="89">
        <f t="shared" ca="1" si="13"/>
        <v>1</v>
      </c>
    </row>
    <row r="872" spans="8:10" x14ac:dyDescent="0.3">
      <c r="H872" s="89">
        <v>870</v>
      </c>
      <c r="I872" s="89">
        <f t="shared" ca="1" si="13"/>
        <v>0</v>
      </c>
      <c r="J872" s="89">
        <f t="shared" ca="1" si="13"/>
        <v>0</v>
      </c>
    </row>
    <row r="873" spans="8:10" x14ac:dyDescent="0.3">
      <c r="H873" s="89">
        <v>871</v>
      </c>
      <c r="I873" s="89">
        <f t="shared" ca="1" si="13"/>
        <v>0</v>
      </c>
      <c r="J873" s="89">
        <f t="shared" ca="1" si="13"/>
        <v>0</v>
      </c>
    </row>
    <row r="874" spans="8:10" x14ac:dyDescent="0.3">
      <c r="H874" s="89">
        <v>872</v>
      </c>
      <c r="I874" s="89">
        <f t="shared" ca="1" si="13"/>
        <v>1</v>
      </c>
      <c r="J874" s="89">
        <f t="shared" ca="1" si="13"/>
        <v>1</v>
      </c>
    </row>
    <row r="875" spans="8:10" x14ac:dyDescent="0.3">
      <c r="H875" s="89">
        <v>873</v>
      </c>
      <c r="I875" s="89">
        <f t="shared" ca="1" si="13"/>
        <v>0</v>
      </c>
      <c r="J875" s="89">
        <f t="shared" ca="1" si="13"/>
        <v>1</v>
      </c>
    </row>
    <row r="876" spans="8:10" x14ac:dyDescent="0.3">
      <c r="H876" s="89">
        <v>874</v>
      </c>
      <c r="I876" s="89">
        <f t="shared" ca="1" si="13"/>
        <v>0</v>
      </c>
      <c r="J876" s="89">
        <f t="shared" ca="1" si="13"/>
        <v>0</v>
      </c>
    </row>
    <row r="877" spans="8:10" x14ac:dyDescent="0.3">
      <c r="H877" s="89">
        <v>875</v>
      </c>
      <c r="I877" s="89">
        <f t="shared" ca="1" si="13"/>
        <v>1</v>
      </c>
      <c r="J877" s="89">
        <f t="shared" ca="1" si="13"/>
        <v>0</v>
      </c>
    </row>
    <row r="878" spans="8:10" x14ac:dyDescent="0.3">
      <c r="H878" s="89">
        <v>876</v>
      </c>
      <c r="I878" s="89">
        <f t="shared" ca="1" si="13"/>
        <v>1</v>
      </c>
      <c r="J878" s="89">
        <f t="shared" ca="1" si="13"/>
        <v>1</v>
      </c>
    </row>
    <row r="879" spans="8:10" x14ac:dyDescent="0.3">
      <c r="H879" s="89">
        <v>877</v>
      </c>
      <c r="I879" s="89">
        <f t="shared" ca="1" si="13"/>
        <v>0</v>
      </c>
      <c r="J879" s="89">
        <f t="shared" ca="1" si="13"/>
        <v>1</v>
      </c>
    </row>
    <row r="880" spans="8:10" x14ac:dyDescent="0.3">
      <c r="H880" s="89">
        <v>878</v>
      </c>
      <c r="I880" s="89">
        <f t="shared" ca="1" si="13"/>
        <v>0</v>
      </c>
      <c r="J880" s="89">
        <f t="shared" ca="1" si="13"/>
        <v>1</v>
      </c>
    </row>
    <row r="881" spans="8:10" x14ac:dyDescent="0.3">
      <c r="H881" s="89">
        <v>879</v>
      </c>
      <c r="I881" s="89">
        <f t="shared" ca="1" si="13"/>
        <v>1</v>
      </c>
      <c r="J881" s="89">
        <f t="shared" ca="1" si="13"/>
        <v>1</v>
      </c>
    </row>
    <row r="882" spans="8:10" x14ac:dyDescent="0.3">
      <c r="H882" s="89">
        <v>880</v>
      </c>
      <c r="I882" s="89">
        <f t="shared" ca="1" si="13"/>
        <v>0</v>
      </c>
      <c r="J882" s="89">
        <f t="shared" ca="1" si="13"/>
        <v>0</v>
      </c>
    </row>
    <row r="883" spans="8:10" x14ac:dyDescent="0.3">
      <c r="H883" s="89">
        <v>881</v>
      </c>
      <c r="I883" s="89">
        <f t="shared" ca="1" si="13"/>
        <v>0</v>
      </c>
      <c r="J883" s="89">
        <f t="shared" ca="1" si="13"/>
        <v>0</v>
      </c>
    </row>
    <row r="884" spans="8:10" x14ac:dyDescent="0.3">
      <c r="H884" s="89">
        <v>882</v>
      </c>
      <c r="I884" s="89">
        <f t="shared" ca="1" si="13"/>
        <v>0</v>
      </c>
      <c r="J884" s="89">
        <f t="shared" ca="1" si="13"/>
        <v>1</v>
      </c>
    </row>
    <row r="885" spans="8:10" x14ac:dyDescent="0.3">
      <c r="H885" s="89">
        <v>883</v>
      </c>
      <c r="I885" s="89">
        <f t="shared" ca="1" si="13"/>
        <v>0</v>
      </c>
      <c r="J885" s="89">
        <f t="shared" ca="1" si="13"/>
        <v>0</v>
      </c>
    </row>
    <row r="886" spans="8:10" x14ac:dyDescent="0.3">
      <c r="H886" s="89">
        <v>884</v>
      </c>
      <c r="I886" s="89">
        <f t="shared" ca="1" si="13"/>
        <v>0</v>
      </c>
      <c r="J886" s="89">
        <f t="shared" ca="1" si="13"/>
        <v>0</v>
      </c>
    </row>
    <row r="887" spans="8:10" x14ac:dyDescent="0.3">
      <c r="H887" s="89">
        <v>885</v>
      </c>
      <c r="I887" s="89">
        <f t="shared" ca="1" si="13"/>
        <v>1</v>
      </c>
      <c r="J887" s="89">
        <f t="shared" ca="1" si="13"/>
        <v>0</v>
      </c>
    </row>
    <row r="888" spans="8:10" x14ac:dyDescent="0.3">
      <c r="H888" s="89">
        <v>886</v>
      </c>
      <c r="I888" s="89">
        <f t="shared" ca="1" si="13"/>
        <v>0</v>
      </c>
      <c r="J888" s="89">
        <f t="shared" ca="1" si="13"/>
        <v>0</v>
      </c>
    </row>
    <row r="889" spans="8:10" x14ac:dyDescent="0.3">
      <c r="H889" s="89">
        <v>887</v>
      </c>
      <c r="I889" s="89">
        <f t="shared" ca="1" si="13"/>
        <v>1</v>
      </c>
      <c r="J889" s="89">
        <f t="shared" ca="1" si="13"/>
        <v>1</v>
      </c>
    </row>
    <row r="890" spans="8:10" x14ac:dyDescent="0.3">
      <c r="H890" s="89">
        <v>888</v>
      </c>
      <c r="I890" s="89">
        <f t="shared" ca="1" si="13"/>
        <v>0</v>
      </c>
      <c r="J890" s="89">
        <f t="shared" ca="1" si="13"/>
        <v>1</v>
      </c>
    </row>
    <row r="891" spans="8:10" x14ac:dyDescent="0.3">
      <c r="H891" s="89">
        <v>889</v>
      </c>
      <c r="I891" s="89">
        <f t="shared" ca="1" si="13"/>
        <v>1</v>
      </c>
      <c r="J891" s="89">
        <f t="shared" ca="1" si="13"/>
        <v>1</v>
      </c>
    </row>
    <row r="892" spans="8:10" x14ac:dyDescent="0.3">
      <c r="H892" s="89">
        <v>890</v>
      </c>
      <c r="I892" s="89">
        <f t="shared" ca="1" si="13"/>
        <v>1</v>
      </c>
      <c r="J892" s="89">
        <f t="shared" ca="1" si="13"/>
        <v>1</v>
      </c>
    </row>
    <row r="893" spans="8:10" x14ac:dyDescent="0.3">
      <c r="H893" s="89">
        <v>891</v>
      </c>
      <c r="I893" s="89">
        <f t="shared" ca="1" si="13"/>
        <v>1</v>
      </c>
      <c r="J893" s="89">
        <f t="shared" ca="1" si="13"/>
        <v>0</v>
      </c>
    </row>
    <row r="894" spans="8:10" x14ac:dyDescent="0.3">
      <c r="H894" s="89">
        <v>892</v>
      </c>
      <c r="I894" s="89">
        <f t="shared" ca="1" si="13"/>
        <v>0</v>
      </c>
      <c r="J894" s="89">
        <f t="shared" ca="1" si="13"/>
        <v>0</v>
      </c>
    </row>
    <row r="895" spans="8:10" x14ac:dyDescent="0.3">
      <c r="H895" s="89">
        <v>893</v>
      </c>
      <c r="I895" s="89">
        <f t="shared" ca="1" si="13"/>
        <v>1</v>
      </c>
      <c r="J895" s="89">
        <f t="shared" ca="1" si="13"/>
        <v>0</v>
      </c>
    </row>
    <row r="896" spans="8:10" x14ac:dyDescent="0.3">
      <c r="H896" s="89">
        <v>894</v>
      </c>
      <c r="I896" s="89">
        <f t="shared" ca="1" si="13"/>
        <v>1</v>
      </c>
      <c r="J896" s="89">
        <f t="shared" ca="1" si="13"/>
        <v>0</v>
      </c>
    </row>
    <row r="897" spans="8:10" x14ac:dyDescent="0.3">
      <c r="H897" s="89">
        <v>895</v>
      </c>
      <c r="I897" s="89">
        <f t="shared" ca="1" si="13"/>
        <v>0</v>
      </c>
      <c r="J897" s="89">
        <f t="shared" ca="1" si="13"/>
        <v>0</v>
      </c>
    </row>
    <row r="898" spans="8:10" x14ac:dyDescent="0.3">
      <c r="H898" s="89">
        <v>896</v>
      </c>
      <c r="I898" s="89">
        <f t="shared" ca="1" si="13"/>
        <v>0</v>
      </c>
      <c r="J898" s="89">
        <f t="shared" ca="1" si="13"/>
        <v>1</v>
      </c>
    </row>
    <row r="899" spans="8:10" x14ac:dyDescent="0.3">
      <c r="H899" s="89">
        <v>897</v>
      </c>
      <c r="I899" s="89">
        <f t="shared" ca="1" si="13"/>
        <v>1</v>
      </c>
      <c r="J899" s="89">
        <f t="shared" ca="1" si="13"/>
        <v>0</v>
      </c>
    </row>
    <row r="900" spans="8:10" x14ac:dyDescent="0.3">
      <c r="H900" s="89">
        <v>898</v>
      </c>
      <c r="I900" s="89">
        <f t="shared" ref="I900:J963" ca="1" si="14">RANDBETWEEN(0,1)</f>
        <v>1</v>
      </c>
      <c r="J900" s="89">
        <f t="shared" ca="1" si="14"/>
        <v>0</v>
      </c>
    </row>
    <row r="901" spans="8:10" x14ac:dyDescent="0.3">
      <c r="H901" s="89">
        <v>899</v>
      </c>
      <c r="I901" s="89">
        <f t="shared" ca="1" si="14"/>
        <v>1</v>
      </c>
      <c r="J901" s="89">
        <f t="shared" ca="1" si="14"/>
        <v>0</v>
      </c>
    </row>
    <row r="902" spans="8:10" x14ac:dyDescent="0.3">
      <c r="H902" s="89">
        <v>900</v>
      </c>
      <c r="I902" s="89">
        <f t="shared" ca="1" si="14"/>
        <v>0</v>
      </c>
      <c r="J902" s="89">
        <f t="shared" ca="1" si="14"/>
        <v>0</v>
      </c>
    </row>
    <row r="903" spans="8:10" x14ac:dyDescent="0.3">
      <c r="H903" s="89">
        <v>901</v>
      </c>
      <c r="I903" s="89">
        <f t="shared" ca="1" si="14"/>
        <v>1</v>
      </c>
      <c r="J903" s="89">
        <f t="shared" ca="1" si="14"/>
        <v>0</v>
      </c>
    </row>
    <row r="904" spans="8:10" x14ac:dyDescent="0.3">
      <c r="H904" s="89">
        <v>902</v>
      </c>
      <c r="I904" s="89">
        <f t="shared" ca="1" si="14"/>
        <v>0</v>
      </c>
      <c r="J904" s="89">
        <f t="shared" ca="1" si="14"/>
        <v>1</v>
      </c>
    </row>
    <row r="905" spans="8:10" x14ac:dyDescent="0.3">
      <c r="H905" s="89">
        <v>903</v>
      </c>
      <c r="I905" s="89">
        <f t="shared" ca="1" si="14"/>
        <v>0</v>
      </c>
      <c r="J905" s="89">
        <f t="shared" ca="1" si="14"/>
        <v>0</v>
      </c>
    </row>
    <row r="906" spans="8:10" x14ac:dyDescent="0.3">
      <c r="H906" s="89">
        <v>904</v>
      </c>
      <c r="I906" s="89">
        <f t="shared" ca="1" si="14"/>
        <v>0</v>
      </c>
      <c r="J906" s="89">
        <f t="shared" ca="1" si="14"/>
        <v>1</v>
      </c>
    </row>
    <row r="907" spans="8:10" x14ac:dyDescent="0.3">
      <c r="H907" s="89">
        <v>905</v>
      </c>
      <c r="I907" s="89">
        <f t="shared" ca="1" si="14"/>
        <v>1</v>
      </c>
      <c r="J907" s="89">
        <f t="shared" ca="1" si="14"/>
        <v>0</v>
      </c>
    </row>
    <row r="908" spans="8:10" x14ac:dyDescent="0.3">
      <c r="H908" s="89">
        <v>906</v>
      </c>
      <c r="I908" s="89">
        <f t="shared" ca="1" si="14"/>
        <v>0</v>
      </c>
      <c r="J908" s="89">
        <f t="shared" ca="1" si="14"/>
        <v>1</v>
      </c>
    </row>
    <row r="909" spans="8:10" x14ac:dyDescent="0.3">
      <c r="H909" s="89">
        <v>907</v>
      </c>
      <c r="I909" s="89">
        <f t="shared" ca="1" si="14"/>
        <v>1</v>
      </c>
      <c r="J909" s="89">
        <f t="shared" ca="1" si="14"/>
        <v>0</v>
      </c>
    </row>
    <row r="910" spans="8:10" x14ac:dyDescent="0.3">
      <c r="H910" s="89">
        <v>908</v>
      </c>
      <c r="I910" s="89">
        <f t="shared" ca="1" si="14"/>
        <v>0</v>
      </c>
      <c r="J910" s="89">
        <f t="shared" ca="1" si="14"/>
        <v>1</v>
      </c>
    </row>
    <row r="911" spans="8:10" x14ac:dyDescent="0.3">
      <c r="H911" s="89">
        <v>909</v>
      </c>
      <c r="I911" s="89">
        <f t="shared" ca="1" si="14"/>
        <v>0</v>
      </c>
      <c r="J911" s="89">
        <f t="shared" ca="1" si="14"/>
        <v>1</v>
      </c>
    </row>
    <row r="912" spans="8:10" x14ac:dyDescent="0.3">
      <c r="H912" s="89">
        <v>910</v>
      </c>
      <c r="I912" s="89">
        <f t="shared" ca="1" si="14"/>
        <v>0</v>
      </c>
      <c r="J912" s="89">
        <f t="shared" ca="1" si="14"/>
        <v>0</v>
      </c>
    </row>
    <row r="913" spans="8:10" x14ac:dyDescent="0.3">
      <c r="H913" s="89">
        <v>911</v>
      </c>
      <c r="I913" s="89">
        <f t="shared" ca="1" si="14"/>
        <v>0</v>
      </c>
      <c r="J913" s="89">
        <f t="shared" ca="1" si="14"/>
        <v>0</v>
      </c>
    </row>
    <row r="914" spans="8:10" x14ac:dyDescent="0.3">
      <c r="H914" s="89">
        <v>912</v>
      </c>
      <c r="I914" s="89">
        <f t="shared" ca="1" si="14"/>
        <v>0</v>
      </c>
      <c r="J914" s="89">
        <f t="shared" ca="1" si="14"/>
        <v>0</v>
      </c>
    </row>
    <row r="915" spans="8:10" x14ac:dyDescent="0.3">
      <c r="H915" s="89">
        <v>913</v>
      </c>
      <c r="I915" s="89">
        <f t="shared" ca="1" si="14"/>
        <v>0</v>
      </c>
      <c r="J915" s="89">
        <f t="shared" ca="1" si="14"/>
        <v>1</v>
      </c>
    </row>
    <row r="916" spans="8:10" x14ac:dyDescent="0.3">
      <c r="H916" s="89">
        <v>914</v>
      </c>
      <c r="I916" s="89">
        <f t="shared" ca="1" si="14"/>
        <v>1</v>
      </c>
      <c r="J916" s="89">
        <f t="shared" ca="1" si="14"/>
        <v>1</v>
      </c>
    </row>
    <row r="917" spans="8:10" x14ac:dyDescent="0.3">
      <c r="H917" s="89">
        <v>915</v>
      </c>
      <c r="I917" s="89">
        <f t="shared" ca="1" si="14"/>
        <v>1</v>
      </c>
      <c r="J917" s="89">
        <f t="shared" ca="1" si="14"/>
        <v>1</v>
      </c>
    </row>
    <row r="918" spans="8:10" x14ac:dyDescent="0.3">
      <c r="H918" s="89">
        <v>916</v>
      </c>
      <c r="I918" s="89">
        <f t="shared" ca="1" si="14"/>
        <v>0</v>
      </c>
      <c r="J918" s="89">
        <f t="shared" ca="1" si="14"/>
        <v>0</v>
      </c>
    </row>
    <row r="919" spans="8:10" x14ac:dyDescent="0.3">
      <c r="H919" s="89">
        <v>917</v>
      </c>
      <c r="I919" s="89">
        <f t="shared" ca="1" si="14"/>
        <v>1</v>
      </c>
      <c r="J919" s="89">
        <f t="shared" ca="1" si="14"/>
        <v>1</v>
      </c>
    </row>
    <row r="920" spans="8:10" x14ac:dyDescent="0.3">
      <c r="H920" s="89">
        <v>918</v>
      </c>
      <c r="I920" s="89">
        <f t="shared" ca="1" si="14"/>
        <v>0</v>
      </c>
      <c r="J920" s="89">
        <f t="shared" ca="1" si="14"/>
        <v>0</v>
      </c>
    </row>
    <row r="921" spans="8:10" x14ac:dyDescent="0.3">
      <c r="H921" s="89">
        <v>919</v>
      </c>
      <c r="I921" s="89">
        <f t="shared" ca="1" si="14"/>
        <v>1</v>
      </c>
      <c r="J921" s="89">
        <f t="shared" ca="1" si="14"/>
        <v>1</v>
      </c>
    </row>
    <row r="922" spans="8:10" x14ac:dyDescent="0.3">
      <c r="H922" s="89">
        <v>920</v>
      </c>
      <c r="I922" s="89">
        <f t="shared" ca="1" si="14"/>
        <v>1</v>
      </c>
      <c r="J922" s="89">
        <f t="shared" ca="1" si="14"/>
        <v>1</v>
      </c>
    </row>
    <row r="923" spans="8:10" x14ac:dyDescent="0.3">
      <c r="H923" s="89">
        <v>921</v>
      </c>
      <c r="I923" s="89">
        <f t="shared" ca="1" si="14"/>
        <v>0</v>
      </c>
      <c r="J923" s="89">
        <f t="shared" ca="1" si="14"/>
        <v>1</v>
      </c>
    </row>
    <row r="924" spans="8:10" x14ac:dyDescent="0.3">
      <c r="H924" s="89">
        <v>922</v>
      </c>
      <c r="I924" s="89">
        <f t="shared" ca="1" si="14"/>
        <v>1</v>
      </c>
      <c r="J924" s="89">
        <f t="shared" ca="1" si="14"/>
        <v>0</v>
      </c>
    </row>
    <row r="925" spans="8:10" x14ac:dyDescent="0.3">
      <c r="H925" s="89">
        <v>923</v>
      </c>
      <c r="I925" s="89">
        <f t="shared" ca="1" si="14"/>
        <v>1</v>
      </c>
      <c r="J925" s="89">
        <f t="shared" ca="1" si="14"/>
        <v>0</v>
      </c>
    </row>
    <row r="926" spans="8:10" x14ac:dyDescent="0.3">
      <c r="H926" s="89">
        <v>924</v>
      </c>
      <c r="I926" s="89">
        <f t="shared" ca="1" si="14"/>
        <v>0</v>
      </c>
      <c r="J926" s="89">
        <f t="shared" ca="1" si="14"/>
        <v>0</v>
      </c>
    </row>
    <row r="927" spans="8:10" x14ac:dyDescent="0.3">
      <c r="H927" s="89">
        <v>925</v>
      </c>
      <c r="I927" s="89">
        <f t="shared" ca="1" si="14"/>
        <v>1</v>
      </c>
      <c r="J927" s="89">
        <f t="shared" ca="1" si="14"/>
        <v>1</v>
      </c>
    </row>
    <row r="928" spans="8:10" x14ac:dyDescent="0.3">
      <c r="H928" s="89">
        <v>926</v>
      </c>
      <c r="I928" s="89">
        <f t="shared" ca="1" si="14"/>
        <v>1</v>
      </c>
      <c r="J928" s="89">
        <f t="shared" ca="1" si="14"/>
        <v>0</v>
      </c>
    </row>
    <row r="929" spans="8:10" x14ac:dyDescent="0.3">
      <c r="H929" s="89">
        <v>927</v>
      </c>
      <c r="I929" s="89">
        <f t="shared" ca="1" si="14"/>
        <v>1</v>
      </c>
      <c r="J929" s="89">
        <f t="shared" ca="1" si="14"/>
        <v>1</v>
      </c>
    </row>
    <row r="930" spans="8:10" x14ac:dyDescent="0.3">
      <c r="H930" s="89">
        <v>928</v>
      </c>
      <c r="I930" s="89">
        <f t="shared" ca="1" si="14"/>
        <v>1</v>
      </c>
      <c r="J930" s="89">
        <f t="shared" ca="1" si="14"/>
        <v>1</v>
      </c>
    </row>
    <row r="931" spans="8:10" x14ac:dyDescent="0.3">
      <c r="H931" s="89">
        <v>929</v>
      </c>
      <c r="I931" s="89">
        <f t="shared" ca="1" si="14"/>
        <v>1</v>
      </c>
      <c r="J931" s="89">
        <f t="shared" ca="1" si="14"/>
        <v>1</v>
      </c>
    </row>
    <row r="932" spans="8:10" x14ac:dyDescent="0.3">
      <c r="H932" s="89">
        <v>930</v>
      </c>
      <c r="I932" s="89">
        <f t="shared" ca="1" si="14"/>
        <v>0</v>
      </c>
      <c r="J932" s="89">
        <f t="shared" ca="1" si="14"/>
        <v>0</v>
      </c>
    </row>
    <row r="933" spans="8:10" x14ac:dyDescent="0.3">
      <c r="H933" s="89">
        <v>931</v>
      </c>
      <c r="I933" s="89">
        <f t="shared" ca="1" si="14"/>
        <v>1</v>
      </c>
      <c r="J933" s="89">
        <f t="shared" ca="1" si="14"/>
        <v>1</v>
      </c>
    </row>
    <row r="934" spans="8:10" x14ac:dyDescent="0.3">
      <c r="H934" s="89">
        <v>932</v>
      </c>
      <c r="I934" s="89">
        <f t="shared" ca="1" si="14"/>
        <v>1</v>
      </c>
      <c r="J934" s="89">
        <f t="shared" ca="1" si="14"/>
        <v>1</v>
      </c>
    </row>
    <row r="935" spans="8:10" x14ac:dyDescent="0.3">
      <c r="H935" s="89">
        <v>933</v>
      </c>
      <c r="I935" s="89">
        <f t="shared" ca="1" si="14"/>
        <v>1</v>
      </c>
      <c r="J935" s="89">
        <f t="shared" ca="1" si="14"/>
        <v>0</v>
      </c>
    </row>
    <row r="936" spans="8:10" x14ac:dyDescent="0.3">
      <c r="H936" s="89">
        <v>934</v>
      </c>
      <c r="I936" s="89">
        <f t="shared" ca="1" si="14"/>
        <v>1</v>
      </c>
      <c r="J936" s="89">
        <f t="shared" ca="1" si="14"/>
        <v>0</v>
      </c>
    </row>
    <row r="937" spans="8:10" x14ac:dyDescent="0.3">
      <c r="H937" s="89">
        <v>935</v>
      </c>
      <c r="I937" s="89">
        <f t="shared" ca="1" si="14"/>
        <v>0</v>
      </c>
      <c r="J937" s="89">
        <f t="shared" ca="1" si="14"/>
        <v>0</v>
      </c>
    </row>
    <row r="938" spans="8:10" x14ac:dyDescent="0.3">
      <c r="H938" s="89">
        <v>936</v>
      </c>
      <c r="I938" s="89">
        <f t="shared" ca="1" si="14"/>
        <v>0</v>
      </c>
      <c r="J938" s="89">
        <f t="shared" ca="1" si="14"/>
        <v>1</v>
      </c>
    </row>
    <row r="939" spans="8:10" x14ac:dyDescent="0.3">
      <c r="H939" s="89">
        <v>937</v>
      </c>
      <c r="I939" s="89">
        <f t="shared" ca="1" si="14"/>
        <v>0</v>
      </c>
      <c r="J939" s="89">
        <f t="shared" ca="1" si="14"/>
        <v>1</v>
      </c>
    </row>
    <row r="940" spans="8:10" x14ac:dyDescent="0.3">
      <c r="H940" s="89">
        <v>938</v>
      </c>
      <c r="I940" s="89">
        <f t="shared" ca="1" si="14"/>
        <v>0</v>
      </c>
      <c r="J940" s="89">
        <f t="shared" ca="1" si="14"/>
        <v>0</v>
      </c>
    </row>
    <row r="941" spans="8:10" x14ac:dyDescent="0.3">
      <c r="H941" s="89">
        <v>939</v>
      </c>
      <c r="I941" s="89">
        <f t="shared" ca="1" si="14"/>
        <v>0</v>
      </c>
      <c r="J941" s="89">
        <f t="shared" ca="1" si="14"/>
        <v>0</v>
      </c>
    </row>
    <row r="942" spans="8:10" x14ac:dyDescent="0.3">
      <c r="H942" s="89">
        <v>940</v>
      </c>
      <c r="I942" s="89">
        <f t="shared" ca="1" si="14"/>
        <v>1</v>
      </c>
      <c r="J942" s="89">
        <f t="shared" ca="1" si="14"/>
        <v>0</v>
      </c>
    </row>
    <row r="943" spans="8:10" x14ac:dyDescent="0.3">
      <c r="H943" s="89">
        <v>941</v>
      </c>
      <c r="I943" s="89">
        <f t="shared" ca="1" si="14"/>
        <v>0</v>
      </c>
      <c r="J943" s="89">
        <f t="shared" ca="1" si="14"/>
        <v>1</v>
      </c>
    </row>
    <row r="944" spans="8:10" x14ac:dyDescent="0.3">
      <c r="H944" s="89">
        <v>942</v>
      </c>
      <c r="I944" s="89">
        <f t="shared" ca="1" si="14"/>
        <v>0</v>
      </c>
      <c r="J944" s="89">
        <f t="shared" ca="1" si="14"/>
        <v>1</v>
      </c>
    </row>
    <row r="945" spans="8:10" x14ac:dyDescent="0.3">
      <c r="H945" s="89">
        <v>943</v>
      </c>
      <c r="I945" s="89">
        <f t="shared" ca="1" si="14"/>
        <v>1</v>
      </c>
      <c r="J945" s="89">
        <f t="shared" ca="1" si="14"/>
        <v>0</v>
      </c>
    </row>
    <row r="946" spans="8:10" x14ac:dyDescent="0.3">
      <c r="H946" s="89">
        <v>944</v>
      </c>
      <c r="I946" s="89">
        <f t="shared" ca="1" si="14"/>
        <v>0</v>
      </c>
      <c r="J946" s="89">
        <f t="shared" ca="1" si="14"/>
        <v>1</v>
      </c>
    </row>
    <row r="947" spans="8:10" x14ac:dyDescent="0.3">
      <c r="H947" s="89">
        <v>945</v>
      </c>
      <c r="I947" s="89">
        <f t="shared" ca="1" si="14"/>
        <v>1</v>
      </c>
      <c r="J947" s="89">
        <f t="shared" ca="1" si="14"/>
        <v>0</v>
      </c>
    </row>
    <row r="948" spans="8:10" x14ac:dyDescent="0.3">
      <c r="H948" s="89">
        <v>946</v>
      </c>
      <c r="I948" s="89">
        <f t="shared" ca="1" si="14"/>
        <v>1</v>
      </c>
      <c r="J948" s="89">
        <f t="shared" ca="1" si="14"/>
        <v>0</v>
      </c>
    </row>
    <row r="949" spans="8:10" x14ac:dyDescent="0.3">
      <c r="H949" s="89">
        <v>947</v>
      </c>
      <c r="I949" s="89">
        <f t="shared" ca="1" si="14"/>
        <v>0</v>
      </c>
      <c r="J949" s="89">
        <f t="shared" ca="1" si="14"/>
        <v>0</v>
      </c>
    </row>
    <row r="950" spans="8:10" x14ac:dyDescent="0.3">
      <c r="H950" s="89">
        <v>948</v>
      </c>
      <c r="I950" s="89">
        <f t="shared" ca="1" si="14"/>
        <v>1</v>
      </c>
      <c r="J950" s="89">
        <f t="shared" ca="1" si="14"/>
        <v>0</v>
      </c>
    </row>
    <row r="951" spans="8:10" x14ac:dyDescent="0.3">
      <c r="H951" s="89">
        <v>949</v>
      </c>
      <c r="I951" s="89">
        <f t="shared" ca="1" si="14"/>
        <v>1</v>
      </c>
      <c r="J951" s="89">
        <f t="shared" ca="1" si="14"/>
        <v>0</v>
      </c>
    </row>
    <row r="952" spans="8:10" x14ac:dyDescent="0.3">
      <c r="H952" s="89">
        <v>950</v>
      </c>
      <c r="I952" s="89">
        <f t="shared" ca="1" si="14"/>
        <v>0</v>
      </c>
      <c r="J952" s="89">
        <f t="shared" ca="1" si="14"/>
        <v>0</v>
      </c>
    </row>
    <row r="953" spans="8:10" x14ac:dyDescent="0.3">
      <c r="H953" s="89">
        <v>951</v>
      </c>
      <c r="I953" s="89">
        <f t="shared" ca="1" si="14"/>
        <v>1</v>
      </c>
      <c r="J953" s="89">
        <f t="shared" ca="1" si="14"/>
        <v>1</v>
      </c>
    </row>
    <row r="954" spans="8:10" x14ac:dyDescent="0.3">
      <c r="H954" s="89">
        <v>952</v>
      </c>
      <c r="I954" s="89">
        <f t="shared" ca="1" si="14"/>
        <v>0</v>
      </c>
      <c r="J954" s="89">
        <f t="shared" ca="1" si="14"/>
        <v>1</v>
      </c>
    </row>
    <row r="955" spans="8:10" x14ac:dyDescent="0.3">
      <c r="H955" s="89">
        <v>953</v>
      </c>
      <c r="I955" s="89">
        <f t="shared" ca="1" si="14"/>
        <v>0</v>
      </c>
      <c r="J955" s="89">
        <f t="shared" ca="1" si="14"/>
        <v>0</v>
      </c>
    </row>
    <row r="956" spans="8:10" x14ac:dyDescent="0.3">
      <c r="H956" s="89">
        <v>954</v>
      </c>
      <c r="I956" s="89">
        <f t="shared" ca="1" si="14"/>
        <v>1</v>
      </c>
      <c r="J956" s="89">
        <f t="shared" ca="1" si="14"/>
        <v>1</v>
      </c>
    </row>
    <row r="957" spans="8:10" x14ac:dyDescent="0.3">
      <c r="H957" s="89">
        <v>955</v>
      </c>
      <c r="I957" s="89">
        <f t="shared" ca="1" si="14"/>
        <v>1</v>
      </c>
      <c r="J957" s="89">
        <f t="shared" ca="1" si="14"/>
        <v>1</v>
      </c>
    </row>
    <row r="958" spans="8:10" x14ac:dyDescent="0.3">
      <c r="H958" s="89">
        <v>956</v>
      </c>
      <c r="I958" s="89">
        <f t="shared" ca="1" si="14"/>
        <v>1</v>
      </c>
      <c r="J958" s="89">
        <f t="shared" ca="1" si="14"/>
        <v>0</v>
      </c>
    </row>
    <row r="959" spans="8:10" x14ac:dyDescent="0.3">
      <c r="H959" s="89">
        <v>957</v>
      </c>
      <c r="I959" s="89">
        <f t="shared" ca="1" si="14"/>
        <v>1</v>
      </c>
      <c r="J959" s="89">
        <f t="shared" ca="1" si="14"/>
        <v>1</v>
      </c>
    </row>
    <row r="960" spans="8:10" x14ac:dyDescent="0.3">
      <c r="H960" s="89">
        <v>958</v>
      </c>
      <c r="I960" s="89">
        <f t="shared" ca="1" si="14"/>
        <v>1</v>
      </c>
      <c r="J960" s="89">
        <f t="shared" ca="1" si="14"/>
        <v>1</v>
      </c>
    </row>
    <row r="961" spans="8:10" x14ac:dyDescent="0.3">
      <c r="H961" s="89">
        <v>959</v>
      </c>
      <c r="I961" s="89">
        <f t="shared" ca="1" si="14"/>
        <v>0</v>
      </c>
      <c r="J961" s="89">
        <f t="shared" ca="1" si="14"/>
        <v>0</v>
      </c>
    </row>
    <row r="962" spans="8:10" x14ac:dyDescent="0.3">
      <c r="H962" s="89">
        <v>960</v>
      </c>
      <c r="I962" s="89">
        <f t="shared" ca="1" si="14"/>
        <v>0</v>
      </c>
      <c r="J962" s="89">
        <f t="shared" ca="1" si="14"/>
        <v>0</v>
      </c>
    </row>
    <row r="963" spans="8:10" x14ac:dyDescent="0.3">
      <c r="H963" s="89">
        <v>961</v>
      </c>
      <c r="I963" s="89">
        <f t="shared" ca="1" si="14"/>
        <v>1</v>
      </c>
      <c r="J963" s="89">
        <f t="shared" ca="1" si="14"/>
        <v>0</v>
      </c>
    </row>
    <row r="964" spans="8:10" x14ac:dyDescent="0.3">
      <c r="H964" s="89">
        <v>962</v>
      </c>
      <c r="I964" s="89">
        <f t="shared" ref="I964:J1002" ca="1" si="15">RANDBETWEEN(0,1)</f>
        <v>1</v>
      </c>
      <c r="J964" s="89">
        <f t="shared" ca="1" si="15"/>
        <v>1</v>
      </c>
    </row>
    <row r="965" spans="8:10" x14ac:dyDescent="0.3">
      <c r="H965" s="89">
        <v>963</v>
      </c>
      <c r="I965" s="89">
        <f t="shared" ca="1" si="15"/>
        <v>1</v>
      </c>
      <c r="J965" s="89">
        <f t="shared" ca="1" si="15"/>
        <v>0</v>
      </c>
    </row>
    <row r="966" spans="8:10" x14ac:dyDescent="0.3">
      <c r="H966" s="89">
        <v>964</v>
      </c>
      <c r="I966" s="89">
        <f t="shared" ca="1" si="15"/>
        <v>1</v>
      </c>
      <c r="J966" s="89">
        <f t="shared" ca="1" si="15"/>
        <v>0</v>
      </c>
    </row>
    <row r="967" spans="8:10" x14ac:dyDescent="0.3">
      <c r="H967" s="89">
        <v>965</v>
      </c>
      <c r="I967" s="89">
        <f t="shared" ca="1" si="15"/>
        <v>0</v>
      </c>
      <c r="J967" s="89">
        <f t="shared" ca="1" si="15"/>
        <v>1</v>
      </c>
    </row>
    <row r="968" spans="8:10" x14ac:dyDescent="0.3">
      <c r="H968" s="89">
        <v>966</v>
      </c>
      <c r="I968" s="89">
        <f t="shared" ca="1" si="15"/>
        <v>1</v>
      </c>
      <c r="J968" s="89">
        <f t="shared" ca="1" si="15"/>
        <v>1</v>
      </c>
    </row>
    <row r="969" spans="8:10" x14ac:dyDescent="0.3">
      <c r="H969" s="89">
        <v>967</v>
      </c>
      <c r="I969" s="89">
        <f t="shared" ca="1" si="15"/>
        <v>1</v>
      </c>
      <c r="J969" s="89">
        <f t="shared" ca="1" si="15"/>
        <v>1</v>
      </c>
    </row>
    <row r="970" spans="8:10" x14ac:dyDescent="0.3">
      <c r="H970" s="89">
        <v>968</v>
      </c>
      <c r="I970" s="89">
        <f t="shared" ca="1" si="15"/>
        <v>1</v>
      </c>
      <c r="J970" s="89">
        <f t="shared" ca="1" si="15"/>
        <v>0</v>
      </c>
    </row>
    <row r="971" spans="8:10" x14ac:dyDescent="0.3">
      <c r="H971" s="89">
        <v>969</v>
      </c>
      <c r="I971" s="89">
        <f t="shared" ca="1" si="15"/>
        <v>1</v>
      </c>
      <c r="J971" s="89">
        <f t="shared" ca="1" si="15"/>
        <v>1</v>
      </c>
    </row>
    <row r="972" spans="8:10" x14ac:dyDescent="0.3">
      <c r="H972" s="89">
        <v>970</v>
      </c>
      <c r="I972" s="89">
        <f t="shared" ca="1" si="15"/>
        <v>0</v>
      </c>
      <c r="J972" s="89">
        <f t="shared" ca="1" si="15"/>
        <v>1</v>
      </c>
    </row>
    <row r="973" spans="8:10" x14ac:dyDescent="0.3">
      <c r="H973" s="89">
        <v>971</v>
      </c>
      <c r="I973" s="89">
        <f t="shared" ca="1" si="15"/>
        <v>0</v>
      </c>
      <c r="J973" s="89">
        <f t="shared" ca="1" si="15"/>
        <v>1</v>
      </c>
    </row>
    <row r="974" spans="8:10" x14ac:dyDescent="0.3">
      <c r="H974" s="89">
        <v>972</v>
      </c>
      <c r="I974" s="89">
        <f t="shared" ca="1" si="15"/>
        <v>0</v>
      </c>
      <c r="J974" s="89">
        <f t="shared" ca="1" si="15"/>
        <v>0</v>
      </c>
    </row>
    <row r="975" spans="8:10" x14ac:dyDescent="0.3">
      <c r="H975" s="89">
        <v>973</v>
      </c>
      <c r="I975" s="89">
        <f t="shared" ca="1" si="15"/>
        <v>1</v>
      </c>
      <c r="J975" s="89">
        <f t="shared" ca="1" si="15"/>
        <v>0</v>
      </c>
    </row>
    <row r="976" spans="8:10" x14ac:dyDescent="0.3">
      <c r="H976" s="89">
        <v>974</v>
      </c>
      <c r="I976" s="89">
        <f t="shared" ca="1" si="15"/>
        <v>0</v>
      </c>
      <c r="J976" s="89">
        <f t="shared" ca="1" si="15"/>
        <v>0</v>
      </c>
    </row>
    <row r="977" spans="8:10" x14ac:dyDescent="0.3">
      <c r="H977" s="89">
        <v>975</v>
      </c>
      <c r="I977" s="89">
        <f t="shared" ca="1" si="15"/>
        <v>1</v>
      </c>
      <c r="J977" s="89">
        <f t="shared" ca="1" si="15"/>
        <v>0</v>
      </c>
    </row>
    <row r="978" spans="8:10" x14ac:dyDescent="0.3">
      <c r="H978" s="89">
        <v>976</v>
      </c>
      <c r="I978" s="89">
        <f t="shared" ca="1" si="15"/>
        <v>0</v>
      </c>
      <c r="J978" s="89">
        <f t="shared" ca="1" si="15"/>
        <v>0</v>
      </c>
    </row>
    <row r="979" spans="8:10" x14ac:dyDescent="0.3">
      <c r="H979" s="89">
        <v>977</v>
      </c>
      <c r="I979" s="89">
        <f t="shared" ca="1" si="15"/>
        <v>0</v>
      </c>
      <c r="J979" s="89">
        <f t="shared" ca="1" si="15"/>
        <v>0</v>
      </c>
    </row>
    <row r="980" spans="8:10" x14ac:dyDescent="0.3">
      <c r="H980" s="89">
        <v>978</v>
      </c>
      <c r="I980" s="89">
        <f t="shared" ca="1" si="15"/>
        <v>0</v>
      </c>
      <c r="J980" s="89">
        <f t="shared" ca="1" si="15"/>
        <v>1</v>
      </c>
    </row>
    <row r="981" spans="8:10" x14ac:dyDescent="0.3">
      <c r="H981" s="89">
        <v>979</v>
      </c>
      <c r="I981" s="89">
        <f t="shared" ca="1" si="15"/>
        <v>1</v>
      </c>
      <c r="J981" s="89">
        <f t="shared" ca="1" si="15"/>
        <v>0</v>
      </c>
    </row>
    <row r="982" spans="8:10" x14ac:dyDescent="0.3">
      <c r="H982" s="89">
        <v>980</v>
      </c>
      <c r="I982" s="89">
        <f t="shared" ca="1" si="15"/>
        <v>0</v>
      </c>
      <c r="J982" s="89">
        <f t="shared" ca="1" si="15"/>
        <v>0</v>
      </c>
    </row>
    <row r="983" spans="8:10" x14ac:dyDescent="0.3">
      <c r="H983" s="89">
        <v>981</v>
      </c>
      <c r="I983" s="89">
        <f t="shared" ca="1" si="15"/>
        <v>0</v>
      </c>
      <c r="J983" s="89">
        <f t="shared" ca="1" si="15"/>
        <v>0</v>
      </c>
    </row>
    <row r="984" spans="8:10" x14ac:dyDescent="0.3">
      <c r="H984" s="89">
        <v>982</v>
      </c>
      <c r="I984" s="89">
        <f t="shared" ca="1" si="15"/>
        <v>1</v>
      </c>
      <c r="J984" s="89">
        <f t="shared" ca="1" si="15"/>
        <v>1</v>
      </c>
    </row>
    <row r="985" spans="8:10" x14ac:dyDescent="0.3">
      <c r="H985" s="89">
        <v>983</v>
      </c>
      <c r="I985" s="89">
        <f t="shared" ca="1" si="15"/>
        <v>0</v>
      </c>
      <c r="J985" s="89">
        <f t="shared" ca="1" si="15"/>
        <v>0</v>
      </c>
    </row>
    <row r="986" spans="8:10" x14ac:dyDescent="0.3">
      <c r="H986" s="89">
        <v>984</v>
      </c>
      <c r="I986" s="89">
        <f t="shared" ca="1" si="15"/>
        <v>0</v>
      </c>
      <c r="J986" s="89">
        <f t="shared" ca="1" si="15"/>
        <v>1</v>
      </c>
    </row>
    <row r="987" spans="8:10" x14ac:dyDescent="0.3">
      <c r="H987" s="89">
        <v>985</v>
      </c>
      <c r="I987" s="89">
        <f t="shared" ca="1" si="15"/>
        <v>1</v>
      </c>
      <c r="J987" s="89">
        <f t="shared" ca="1" si="15"/>
        <v>0</v>
      </c>
    </row>
    <row r="988" spans="8:10" x14ac:dyDescent="0.3">
      <c r="H988" s="89">
        <v>986</v>
      </c>
      <c r="I988" s="89">
        <f t="shared" ca="1" si="15"/>
        <v>1</v>
      </c>
      <c r="J988" s="89">
        <f t="shared" ca="1" si="15"/>
        <v>0</v>
      </c>
    </row>
    <row r="989" spans="8:10" x14ac:dyDescent="0.3">
      <c r="H989" s="89">
        <v>987</v>
      </c>
      <c r="I989" s="89">
        <f t="shared" ca="1" si="15"/>
        <v>0</v>
      </c>
      <c r="J989" s="89">
        <f t="shared" ca="1" si="15"/>
        <v>1</v>
      </c>
    </row>
    <row r="990" spans="8:10" x14ac:dyDescent="0.3">
      <c r="H990" s="89">
        <v>988</v>
      </c>
      <c r="I990" s="89">
        <f t="shared" ca="1" si="15"/>
        <v>1</v>
      </c>
      <c r="J990" s="89">
        <f t="shared" ca="1" si="15"/>
        <v>1</v>
      </c>
    </row>
    <row r="991" spans="8:10" x14ac:dyDescent="0.3">
      <c r="H991" s="89">
        <v>989</v>
      </c>
      <c r="I991" s="89">
        <f t="shared" ca="1" si="15"/>
        <v>1</v>
      </c>
      <c r="J991" s="89">
        <f t="shared" ca="1" si="15"/>
        <v>0</v>
      </c>
    </row>
    <row r="992" spans="8:10" x14ac:dyDescent="0.3">
      <c r="H992" s="89">
        <v>990</v>
      </c>
      <c r="I992" s="89">
        <f t="shared" ca="1" si="15"/>
        <v>1</v>
      </c>
      <c r="J992" s="89">
        <f t="shared" ca="1" si="15"/>
        <v>0</v>
      </c>
    </row>
    <row r="993" spans="8:10" x14ac:dyDescent="0.3">
      <c r="H993" s="89">
        <v>991</v>
      </c>
      <c r="I993" s="89">
        <f t="shared" ca="1" si="15"/>
        <v>0</v>
      </c>
      <c r="J993" s="89">
        <f t="shared" ca="1" si="15"/>
        <v>0</v>
      </c>
    </row>
    <row r="994" spans="8:10" x14ac:dyDescent="0.3">
      <c r="H994" s="89">
        <v>992</v>
      </c>
      <c r="I994" s="89">
        <f t="shared" ca="1" si="15"/>
        <v>0</v>
      </c>
      <c r="J994" s="89">
        <f t="shared" ca="1" si="15"/>
        <v>1</v>
      </c>
    </row>
    <row r="995" spans="8:10" x14ac:dyDescent="0.3">
      <c r="H995" s="89">
        <v>993</v>
      </c>
      <c r="I995" s="89">
        <f t="shared" ca="1" si="15"/>
        <v>1</v>
      </c>
      <c r="J995" s="89">
        <f t="shared" ca="1" si="15"/>
        <v>0</v>
      </c>
    </row>
    <row r="996" spans="8:10" x14ac:dyDescent="0.3">
      <c r="H996" s="89">
        <v>994</v>
      </c>
      <c r="I996" s="89">
        <f t="shared" ca="1" si="15"/>
        <v>1</v>
      </c>
      <c r="J996" s="89">
        <f t="shared" ca="1" si="15"/>
        <v>0</v>
      </c>
    </row>
    <row r="997" spans="8:10" x14ac:dyDescent="0.3">
      <c r="H997" s="89">
        <v>995</v>
      </c>
      <c r="I997" s="89">
        <f t="shared" ca="1" si="15"/>
        <v>0</v>
      </c>
      <c r="J997" s="89">
        <f t="shared" ca="1" si="15"/>
        <v>1</v>
      </c>
    </row>
    <row r="998" spans="8:10" x14ac:dyDescent="0.3">
      <c r="H998" s="89">
        <v>996</v>
      </c>
      <c r="I998" s="89">
        <f t="shared" ca="1" si="15"/>
        <v>0</v>
      </c>
      <c r="J998" s="89">
        <f t="shared" ca="1" si="15"/>
        <v>1</v>
      </c>
    </row>
    <row r="999" spans="8:10" x14ac:dyDescent="0.3">
      <c r="H999" s="89">
        <v>997</v>
      </c>
      <c r="I999" s="89">
        <f t="shared" ca="1" si="15"/>
        <v>1</v>
      </c>
      <c r="J999" s="89">
        <f t="shared" ca="1" si="15"/>
        <v>1</v>
      </c>
    </row>
    <row r="1000" spans="8:10" x14ac:dyDescent="0.3">
      <c r="H1000" s="89">
        <v>998</v>
      </c>
      <c r="I1000" s="89">
        <f t="shared" ca="1" si="15"/>
        <v>1</v>
      </c>
      <c r="J1000" s="89">
        <f t="shared" ca="1" si="15"/>
        <v>1</v>
      </c>
    </row>
    <row r="1001" spans="8:10" x14ac:dyDescent="0.3">
      <c r="H1001" s="89">
        <v>999</v>
      </c>
      <c r="I1001" s="89">
        <f t="shared" ca="1" si="15"/>
        <v>0</v>
      </c>
      <c r="J1001" s="89">
        <f t="shared" ca="1" si="15"/>
        <v>1</v>
      </c>
    </row>
    <row r="1002" spans="8:10" x14ac:dyDescent="0.3">
      <c r="H1002" s="89">
        <v>1000</v>
      </c>
      <c r="I1002" s="89">
        <f t="shared" ca="1" si="15"/>
        <v>1</v>
      </c>
      <c r="J1002" s="89">
        <f t="shared" ca="1" si="15"/>
        <v>0</v>
      </c>
    </row>
  </sheetData>
  <mergeCells count="1">
    <mergeCell ref="L2:L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G12"/>
  <sheetViews>
    <sheetView showGridLines="0" zoomScaleNormal="100" workbookViewId="0">
      <selection activeCell="G29" sqref="G29"/>
    </sheetView>
  </sheetViews>
  <sheetFormatPr defaultRowHeight="14.4" x14ac:dyDescent="0.3"/>
  <cols>
    <col min="1" max="1" width="3.77734375" customWidth="1"/>
    <col min="2" max="2" width="8.88671875" customWidth="1"/>
    <col min="3" max="3" width="3.77734375" customWidth="1"/>
    <col min="4" max="4" width="21.6640625" bestFit="1" customWidth="1"/>
    <col min="5" max="5" width="10" bestFit="1" customWidth="1"/>
    <col min="6" max="6" width="7.6640625" style="28" customWidth="1"/>
    <col min="7" max="7" width="14.21875" style="28" customWidth="1"/>
  </cols>
  <sheetData>
    <row r="2" spans="2:7" x14ac:dyDescent="0.3">
      <c r="B2" s="101" t="s">
        <v>115</v>
      </c>
      <c r="C2" s="93" t="s">
        <v>61</v>
      </c>
      <c r="D2" s="93" t="s">
        <v>109</v>
      </c>
      <c r="E2" s="93" t="s">
        <v>110</v>
      </c>
      <c r="F2" s="93" t="s">
        <v>62</v>
      </c>
      <c r="G2" s="93" t="s">
        <v>111</v>
      </c>
    </row>
    <row r="3" spans="2:7" x14ac:dyDescent="0.3">
      <c r="B3" s="101"/>
      <c r="C3" s="89">
        <v>1</v>
      </c>
      <c r="D3" s="1" t="s">
        <v>100</v>
      </c>
      <c r="E3" s="95">
        <v>0.3</v>
      </c>
      <c r="F3" s="96">
        <v>0.91500000000000004</v>
      </c>
      <c r="G3" s="96">
        <f>E3*F3</f>
        <v>0.27450000000000002</v>
      </c>
    </row>
    <row r="4" spans="2:7" x14ac:dyDescent="0.3">
      <c r="B4" s="101"/>
      <c r="C4" s="97">
        <v>2</v>
      </c>
      <c r="D4" s="98" t="s">
        <v>101</v>
      </c>
      <c r="E4" s="95">
        <v>0.2</v>
      </c>
      <c r="F4" s="96">
        <v>1</v>
      </c>
      <c r="G4" s="96">
        <f t="shared" ref="G4:G11" si="0">E4*F4</f>
        <v>0.2</v>
      </c>
    </row>
    <row r="5" spans="2:7" x14ac:dyDescent="0.3">
      <c r="B5" s="101"/>
      <c r="C5" s="97">
        <v>3</v>
      </c>
      <c r="D5" s="98" t="s">
        <v>102</v>
      </c>
      <c r="E5" s="95">
        <v>0.1</v>
      </c>
      <c r="F5" s="96">
        <v>0.7</v>
      </c>
      <c r="G5" s="96">
        <f t="shared" si="0"/>
        <v>6.9999999999999993E-2</v>
      </c>
    </row>
    <row r="6" spans="2:7" x14ac:dyDescent="0.3">
      <c r="B6" s="101"/>
      <c r="C6" s="97">
        <v>5</v>
      </c>
      <c r="D6" s="98" t="s">
        <v>103</v>
      </c>
      <c r="E6" s="95">
        <v>0.1</v>
      </c>
      <c r="F6" s="96">
        <v>0.6</v>
      </c>
      <c r="G6" s="96">
        <f t="shared" si="0"/>
        <v>0.06</v>
      </c>
    </row>
    <row r="7" spans="2:7" x14ac:dyDescent="0.3">
      <c r="B7" s="101"/>
      <c r="C7" s="97">
        <v>6</v>
      </c>
      <c r="D7" s="98" t="s">
        <v>104</v>
      </c>
      <c r="E7" s="95">
        <v>0.1</v>
      </c>
      <c r="F7" s="96">
        <v>0.9</v>
      </c>
      <c r="G7" s="96">
        <f>E7*F7</f>
        <v>9.0000000000000011E-2</v>
      </c>
    </row>
    <row r="8" spans="2:7" x14ac:dyDescent="0.3">
      <c r="B8" s="101"/>
      <c r="C8" s="97">
        <v>4</v>
      </c>
      <c r="D8" s="98" t="s">
        <v>105</v>
      </c>
      <c r="E8" s="95">
        <v>0.05</v>
      </c>
      <c r="F8" s="96">
        <v>0.6</v>
      </c>
      <c r="G8" s="96">
        <f>E8*F8</f>
        <v>0.03</v>
      </c>
    </row>
    <row r="9" spans="2:7" x14ac:dyDescent="0.3">
      <c r="B9" s="101"/>
      <c r="C9" s="97">
        <v>7</v>
      </c>
      <c r="D9" s="98" t="s">
        <v>106</v>
      </c>
      <c r="E9" s="95">
        <v>0.05</v>
      </c>
      <c r="F9" s="96">
        <v>0.7</v>
      </c>
      <c r="G9" s="96">
        <f t="shared" si="0"/>
        <v>3.4999999999999996E-2</v>
      </c>
    </row>
    <row r="10" spans="2:7" x14ac:dyDescent="0.3">
      <c r="B10" s="101"/>
      <c r="C10" s="97">
        <v>9</v>
      </c>
      <c r="D10" s="98" t="s">
        <v>107</v>
      </c>
      <c r="E10" s="95">
        <v>0.05</v>
      </c>
      <c r="F10" s="96">
        <v>0.7</v>
      </c>
      <c r="G10" s="96">
        <f t="shared" si="0"/>
        <v>3.4999999999999996E-2</v>
      </c>
    </row>
    <row r="11" spans="2:7" x14ac:dyDescent="0.3">
      <c r="B11" s="101"/>
      <c r="C11" s="97">
        <v>10</v>
      </c>
      <c r="D11" s="98" t="s">
        <v>108</v>
      </c>
      <c r="E11" s="95">
        <v>0.05</v>
      </c>
      <c r="F11" s="96">
        <v>0.8</v>
      </c>
      <c r="G11" s="96">
        <f t="shared" si="0"/>
        <v>4.0000000000000008E-2</v>
      </c>
    </row>
    <row r="12" spans="2:7" x14ac:dyDescent="0.3">
      <c r="B12" s="101"/>
      <c r="C12" s="99" t="s">
        <v>81</v>
      </c>
      <c r="D12" s="99"/>
      <c r="E12" s="99"/>
      <c r="F12" s="99"/>
      <c r="G12" s="100">
        <f>SUM(G3:G11)</f>
        <v>0.83450000000000013</v>
      </c>
    </row>
  </sheetData>
  <mergeCells count="2">
    <mergeCell ref="C12:F12"/>
    <mergeCell ref="B2:B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G17"/>
  <sheetViews>
    <sheetView showGridLines="0" zoomScale="111" workbookViewId="0">
      <selection activeCell="I3" sqref="I3"/>
    </sheetView>
  </sheetViews>
  <sheetFormatPr defaultRowHeight="14.4" x14ac:dyDescent="0.3"/>
  <cols>
    <col min="2" max="2" width="13.44140625" bestFit="1" customWidth="1"/>
    <col min="3" max="3" width="10.109375" bestFit="1" customWidth="1"/>
    <col min="4" max="4" width="14.33203125" bestFit="1" customWidth="1"/>
    <col min="5" max="5" width="14.77734375" customWidth="1"/>
    <col min="6" max="6" width="14.6640625" customWidth="1"/>
    <col min="7" max="7" width="14.77734375" customWidth="1"/>
    <col min="10" max="10" width="12.33203125" bestFit="1" customWidth="1"/>
  </cols>
  <sheetData>
    <row r="2" spans="2:7" ht="28.8" customHeight="1" x14ac:dyDescent="0.3">
      <c r="B2" s="102" t="s">
        <v>136</v>
      </c>
      <c r="C2" s="102"/>
      <c r="D2" s="102"/>
      <c r="E2" s="102"/>
      <c r="F2" s="102"/>
      <c r="G2" s="102"/>
    </row>
    <row r="3" spans="2:7" ht="28.8" customHeight="1" x14ac:dyDescent="0.3">
      <c r="B3" s="31" t="s">
        <v>121</v>
      </c>
      <c r="C3" s="32" t="s">
        <v>122</v>
      </c>
      <c r="D3" s="32" t="s">
        <v>142</v>
      </c>
      <c r="E3" s="32" t="s">
        <v>123</v>
      </c>
      <c r="F3" s="32" t="s">
        <v>124</v>
      </c>
      <c r="G3" s="32" t="s">
        <v>125</v>
      </c>
    </row>
    <row r="4" spans="2:7" x14ac:dyDescent="0.3">
      <c r="B4" s="108" t="s">
        <v>127</v>
      </c>
      <c r="C4" s="25">
        <v>0.3</v>
      </c>
      <c r="D4" s="26">
        <v>20</v>
      </c>
      <c r="E4" s="36">
        <v>0.58909999999999996</v>
      </c>
      <c r="F4" s="2">
        <f t="shared" ref="F4:F12" si="0">D4*(1+E4)</f>
        <v>31.782</v>
      </c>
      <c r="G4" s="2">
        <f t="shared" ref="G4:G12" si="1">F4*C4</f>
        <v>9.5345999999999993</v>
      </c>
    </row>
    <row r="5" spans="2:7" x14ac:dyDescent="0.3">
      <c r="B5" s="108" t="s">
        <v>128</v>
      </c>
      <c r="C5" s="25">
        <v>0.15</v>
      </c>
      <c r="D5" s="26">
        <v>20</v>
      </c>
      <c r="E5" s="36">
        <v>0.58909999999999996</v>
      </c>
      <c r="F5" s="2">
        <f t="shared" si="0"/>
        <v>31.782</v>
      </c>
      <c r="G5" s="2">
        <f t="shared" si="1"/>
        <v>4.7672999999999996</v>
      </c>
    </row>
    <row r="6" spans="2:7" x14ac:dyDescent="0.3">
      <c r="B6" s="108" t="s">
        <v>129</v>
      </c>
      <c r="C6" s="25">
        <v>0.15</v>
      </c>
      <c r="D6" s="26">
        <v>55</v>
      </c>
      <c r="E6" s="36">
        <v>0.58909999999999996</v>
      </c>
      <c r="F6" s="2">
        <f t="shared" si="0"/>
        <v>87.400499999999994</v>
      </c>
      <c r="G6" s="2">
        <f t="shared" si="1"/>
        <v>13.110074999999998</v>
      </c>
    </row>
    <row r="7" spans="2:7" x14ac:dyDescent="0.3">
      <c r="B7" s="108" t="s">
        <v>130</v>
      </c>
      <c r="C7" s="25">
        <v>0.1</v>
      </c>
      <c r="D7" s="26">
        <v>40</v>
      </c>
      <c r="E7" s="36">
        <v>0.58909999999999996</v>
      </c>
      <c r="F7" s="2">
        <f t="shared" si="0"/>
        <v>63.564</v>
      </c>
      <c r="G7" s="2">
        <f t="shared" si="1"/>
        <v>6.3564000000000007</v>
      </c>
    </row>
    <row r="8" spans="2:7" x14ac:dyDescent="0.3">
      <c r="B8" s="108" t="s">
        <v>131</v>
      </c>
      <c r="C8" s="25">
        <v>0.1</v>
      </c>
      <c r="D8" s="26">
        <v>100</v>
      </c>
      <c r="E8" s="36">
        <v>0.58909999999999996</v>
      </c>
      <c r="F8" s="2">
        <f t="shared" si="0"/>
        <v>158.91</v>
      </c>
      <c r="G8" s="2">
        <f t="shared" si="1"/>
        <v>15.891</v>
      </c>
    </row>
    <row r="9" spans="2:7" x14ac:dyDescent="0.3">
      <c r="B9" s="108" t="s">
        <v>132</v>
      </c>
      <c r="C9" s="25">
        <v>0.05</v>
      </c>
      <c r="D9" s="26">
        <v>30</v>
      </c>
      <c r="E9" s="36">
        <v>0.58909999999999996</v>
      </c>
      <c r="F9" s="2">
        <f t="shared" si="0"/>
        <v>47.673000000000002</v>
      </c>
      <c r="G9" s="2">
        <f t="shared" si="1"/>
        <v>2.3836500000000003</v>
      </c>
    </row>
    <row r="10" spans="2:7" x14ac:dyDescent="0.3">
      <c r="B10" s="108" t="s">
        <v>133</v>
      </c>
      <c r="C10" s="25">
        <v>0.05</v>
      </c>
      <c r="D10" s="26">
        <v>60</v>
      </c>
      <c r="E10" s="36">
        <v>0.58909999999999996</v>
      </c>
      <c r="F10" s="2">
        <f t="shared" si="0"/>
        <v>95.346000000000004</v>
      </c>
      <c r="G10" s="2">
        <f t="shared" si="1"/>
        <v>4.7673000000000005</v>
      </c>
    </row>
    <row r="11" spans="2:7" x14ac:dyDescent="0.3">
      <c r="B11" s="108" t="s">
        <v>134</v>
      </c>
      <c r="C11" s="25">
        <v>0.05</v>
      </c>
      <c r="D11" s="26">
        <v>7</v>
      </c>
      <c r="E11" s="36">
        <v>0.58909999999999996</v>
      </c>
      <c r="F11" s="2">
        <f t="shared" si="0"/>
        <v>11.123699999999999</v>
      </c>
      <c r="G11" s="2">
        <f t="shared" si="1"/>
        <v>0.55618500000000004</v>
      </c>
    </row>
    <row r="12" spans="2:7" x14ac:dyDescent="0.3">
      <c r="B12" s="108" t="s">
        <v>135</v>
      </c>
      <c r="C12" s="25">
        <v>0.05</v>
      </c>
      <c r="D12" s="26">
        <v>110</v>
      </c>
      <c r="E12" s="36">
        <v>0.58909999999999996</v>
      </c>
      <c r="F12" s="2">
        <f t="shared" si="0"/>
        <v>174.80099999999999</v>
      </c>
      <c r="G12" s="2">
        <f t="shared" si="1"/>
        <v>8.7400500000000001</v>
      </c>
    </row>
    <row r="13" spans="2:7" ht="28.8" customHeight="1" x14ac:dyDescent="0.3">
      <c r="B13" s="103" t="s">
        <v>126</v>
      </c>
      <c r="C13" s="104">
        <f>SUM(C4:C12)</f>
        <v>1</v>
      </c>
      <c r="D13" s="105">
        <f>SUMPRODUCT(C4:C12,D4:D12)</f>
        <v>41.6</v>
      </c>
      <c r="E13" s="106">
        <v>0.7</v>
      </c>
      <c r="F13" s="35">
        <f>AVERAGE(F4:F12)</f>
        <v>78.04246666666667</v>
      </c>
      <c r="G13" s="27">
        <f>SUM(G4:G12)</f>
        <v>66.106560000000002</v>
      </c>
    </row>
    <row r="15" spans="2:7" ht="28.8" customHeight="1" x14ac:dyDescent="0.3">
      <c r="B15" s="107" t="s">
        <v>137</v>
      </c>
      <c r="C15" s="107"/>
      <c r="D15" s="107"/>
      <c r="E15" s="107"/>
      <c r="F15" s="107"/>
      <c r="G15" s="34">
        <f>(21705/80)*F13</f>
        <v>21173.896737499999</v>
      </c>
    </row>
    <row r="17" spans="2:7" ht="28.8" customHeight="1" x14ac:dyDescent="0.3">
      <c r="B17" s="107" t="s">
        <v>138</v>
      </c>
      <c r="C17" s="107"/>
      <c r="D17" s="107"/>
      <c r="E17" s="107"/>
      <c r="F17" s="107"/>
      <c r="G17" s="38" t="s">
        <v>143</v>
      </c>
    </row>
  </sheetData>
  <mergeCells count="3">
    <mergeCell ref="B2:G2"/>
    <mergeCell ref="B15:F15"/>
    <mergeCell ref="B17:F1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NPV</vt:lpstr>
      <vt:lpstr>Financial Analysis</vt:lpstr>
      <vt:lpstr>Discount Rate</vt:lpstr>
      <vt:lpstr>Capacity Using Rate &amp; Cash Flow</vt:lpstr>
      <vt:lpstr>Monte Carlo Simülasyonu</vt:lpstr>
      <vt:lpstr>Index Scoring Model</vt:lpstr>
      <vt:lpstr>Seasonal Price Estimation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2025-04-27T17:37:39Z</dcterms:created>
  <dcterms:modified xsi:type="dcterms:W3CDTF">2026-01-16T23:46:57Z</dcterms:modified>
</cp:coreProperties>
</file>