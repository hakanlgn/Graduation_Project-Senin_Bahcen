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0DF47F85-5A6A-489D-A3F7-467605AEA1F5}" xr6:coauthVersionLast="36" xr6:coauthVersionMax="36" xr10:uidLastSave="{00000000-0000-0000-0000-000000000000}"/>
  <bookViews>
    <workbookView xWindow="240" yWindow="108" windowWidth="14808" windowHeight="8016" xr2:uid="{00000000-000D-0000-FFFF-FFFF00000000}"/>
  </bookViews>
  <sheets>
    <sheet name="Cost Table" sheetId="10" r:id="rId1"/>
    <sheet name="Water Consumption" sheetId="5" r:id="rId2"/>
    <sheet name="Estimated Harvest and Turnover " sheetId="6" r:id="rId3"/>
  </sheets>
  <calcPr calcId="191029"/>
</workbook>
</file>

<file path=xl/calcChain.xml><?xml version="1.0" encoding="utf-8"?>
<calcChain xmlns="http://schemas.openxmlformats.org/spreadsheetml/2006/main">
  <c r="J75" i="10" l="1"/>
  <c r="E7" i="5" l="1"/>
  <c r="C7" i="5"/>
  <c r="F6" i="5"/>
  <c r="F5" i="5"/>
  <c r="F4" i="5"/>
  <c r="F3" i="5"/>
  <c r="F7" i="5" l="1"/>
  <c r="J76" i="10"/>
  <c r="G81" i="10"/>
  <c r="I72" i="10"/>
  <c r="I71" i="10"/>
  <c r="I70" i="10"/>
  <c r="I69" i="10"/>
  <c r="I68" i="10"/>
  <c r="I67" i="10"/>
  <c r="I66" i="10"/>
  <c r="I65" i="10"/>
  <c r="I64" i="10"/>
  <c r="I62" i="10"/>
  <c r="K62" i="10" s="1"/>
  <c r="I60" i="10"/>
  <c r="K60" i="10" s="1"/>
  <c r="I59" i="10"/>
  <c r="K59" i="10" s="1"/>
  <c r="I58" i="10"/>
  <c r="K58" i="10" s="1"/>
  <c r="I57" i="10"/>
  <c r="K57" i="10" s="1"/>
  <c r="I55" i="10"/>
  <c r="K55" i="10" s="1"/>
  <c r="I54" i="10"/>
  <c r="K54" i="10" s="1"/>
  <c r="I53" i="10"/>
  <c r="K53" i="10" s="1"/>
  <c r="I52" i="10"/>
  <c r="K52" i="10" s="1"/>
  <c r="I51" i="10"/>
  <c r="K51" i="10" s="1"/>
  <c r="I49" i="10"/>
  <c r="I48" i="10"/>
  <c r="K48" i="10" s="1"/>
  <c r="I47" i="10"/>
  <c r="I46" i="10"/>
  <c r="K46" i="10" s="1"/>
  <c r="I45" i="10"/>
  <c r="K45" i="10" s="1"/>
  <c r="I44" i="10"/>
  <c r="K44" i="10" s="1"/>
  <c r="I43" i="10"/>
  <c r="I40" i="10"/>
  <c r="I39" i="10"/>
  <c r="K39" i="10" s="1"/>
  <c r="I38" i="10"/>
  <c r="K38" i="10" s="1"/>
  <c r="I37" i="10"/>
  <c r="I35" i="10"/>
  <c r="I34" i="10"/>
  <c r="I33" i="10"/>
  <c r="I32" i="10"/>
  <c r="I30" i="10"/>
  <c r="I29" i="10"/>
  <c r="I28" i="10"/>
  <c r="I27" i="10"/>
  <c r="I26" i="10"/>
  <c r="I25" i="10"/>
  <c r="I23" i="10"/>
  <c r="K23" i="10" s="1"/>
  <c r="I22" i="10"/>
  <c r="K22" i="10" s="1"/>
  <c r="I21" i="10"/>
  <c r="K21" i="10" s="1"/>
  <c r="I20" i="10"/>
  <c r="K20" i="10" s="1"/>
  <c r="I19" i="10"/>
  <c r="K19" i="10" s="1"/>
  <c r="I18" i="10"/>
  <c r="K18" i="10" s="1"/>
  <c r="I17" i="10"/>
  <c r="K17" i="10" s="1"/>
  <c r="I16" i="10"/>
  <c r="K16" i="10" s="1"/>
  <c r="I15" i="10"/>
  <c r="K15" i="10" s="1"/>
  <c r="I14" i="10"/>
  <c r="K14" i="10" s="1"/>
  <c r="I13" i="10"/>
  <c r="K13" i="10" s="1"/>
  <c r="I12" i="10"/>
  <c r="K12" i="10" s="1"/>
  <c r="I11" i="10"/>
  <c r="K11" i="10" s="1"/>
  <c r="I10" i="10"/>
  <c r="I8" i="10"/>
  <c r="K8" i="10" s="1"/>
  <c r="I7" i="10"/>
  <c r="K7" i="10" s="1"/>
  <c r="I6" i="10"/>
  <c r="K6" i="10" s="1"/>
  <c r="I4" i="10"/>
  <c r="K4" i="10" s="1"/>
  <c r="I3" i="10"/>
  <c r="K3" i="10" s="1"/>
  <c r="G79" i="10" l="1"/>
  <c r="J77" i="10"/>
  <c r="K10" i="10"/>
  <c r="G80" i="10" s="1"/>
  <c r="G82" i="10" s="1"/>
  <c r="H4" i="6" l="1"/>
  <c r="I4" i="6" s="1"/>
  <c r="O4" i="6" s="1"/>
  <c r="H5" i="6"/>
  <c r="I5" i="6" s="1"/>
  <c r="O5" i="6" s="1"/>
  <c r="H6" i="6"/>
  <c r="I6" i="6" s="1"/>
  <c r="O6" i="6" s="1"/>
  <c r="H7" i="6"/>
  <c r="I7" i="6" s="1"/>
  <c r="O7" i="6" s="1"/>
  <c r="H8" i="6"/>
  <c r="D28" i="6" s="1"/>
  <c r="H9" i="6"/>
  <c r="D29" i="6" s="1"/>
  <c r="H10" i="6"/>
  <c r="D30" i="6" s="1"/>
  <c r="H11" i="6"/>
  <c r="I11" i="6" s="1"/>
  <c r="O11" i="6" s="1"/>
  <c r="H3" i="6"/>
  <c r="D23" i="6" s="1"/>
  <c r="F18" i="6"/>
  <c r="F17" i="6"/>
  <c r="C19" i="6"/>
  <c r="D19" i="6"/>
  <c r="J11" i="6"/>
  <c r="J10" i="6"/>
  <c r="J9" i="6"/>
  <c r="J8" i="6"/>
  <c r="J7" i="6"/>
  <c r="J6" i="6"/>
  <c r="J5" i="6"/>
  <c r="J4" i="6"/>
  <c r="J3" i="6"/>
  <c r="C12" i="6"/>
  <c r="I8" i="6" l="1"/>
  <c r="O8" i="6" s="1"/>
  <c r="D25" i="6"/>
  <c r="D24" i="6"/>
  <c r="D27" i="6"/>
  <c r="D26" i="6"/>
  <c r="D31" i="6"/>
  <c r="I3" i="6"/>
  <c r="O3" i="6" s="1"/>
  <c r="I10" i="6"/>
  <c r="O10" i="6" s="1"/>
  <c r="I9" i="6"/>
  <c r="O9" i="6" s="1"/>
  <c r="F19" i="6"/>
  <c r="O12" i="6" l="1"/>
  <c r="K9" i="6" s="1"/>
  <c r="D32" i="6"/>
  <c r="M9" i="6"/>
  <c r="L9" i="6"/>
  <c r="K3" i="6"/>
  <c r="K11" i="6"/>
  <c r="K7" i="6"/>
  <c r="K8" i="6"/>
  <c r="K10" i="6"/>
  <c r="K6" i="6"/>
  <c r="K4" i="6"/>
  <c r="M6" i="6" l="1"/>
  <c r="L6" i="6"/>
  <c r="M10" i="6"/>
  <c r="L10" i="6"/>
  <c r="M8" i="6"/>
  <c r="L8" i="6"/>
  <c r="M7" i="6"/>
  <c r="L7" i="6"/>
  <c r="M11" i="6"/>
  <c r="L11" i="6"/>
  <c r="M4" i="6"/>
  <c r="L4" i="6"/>
  <c r="M3" i="6"/>
  <c r="L3" i="6"/>
  <c r="J12" i="6"/>
  <c r="K5" i="6"/>
  <c r="K12" i="6" s="1"/>
  <c r="M5" i="6" l="1"/>
  <c r="L5" i="6"/>
  <c r="M12" i="6" l="1"/>
</calcChain>
</file>

<file path=xl/sharedStrings.xml><?xml version="1.0" encoding="utf-8"?>
<sst xmlns="http://schemas.openxmlformats.org/spreadsheetml/2006/main" count="473" uniqueCount="248">
  <si>
    <t>https://www.mediamarkt.com.tr/tr/product/_lenovo-ideapad-1ryzen-7-5700u16gb-ram512gb-ssd156w11laptop-gri-82r400rttx-1241318.html</t>
  </si>
  <si>
    <t>https://www.koctas.com.tr/veta-16t-kollu-sirt-tipi-ilaclama-makinesi-16-l/p/5000766637?_gl=1*2ifb5f*_up*MQ..*_gs*MQ..&amp;gclid=CjwKCAjw5PK_BhBBEiwAL7GTPZ-XFv00jTPYvEb_WS4tyMEyQM01bhqmVNpDAwA24-3CsmygM_Vj2hoCf68QAvD_BwE&amp;gclsrc=aw.ds</t>
  </si>
  <si>
    <t>https://www.trendyol.com/genel-markalar/300-kg-elektronik-terazi-sarjli-kantar-arka-korumali-tarti-40x50-cm-tabla-fiyat-hesaplamali-p-39625176</t>
  </si>
  <si>
    <t>https://www.trendyol.com/sandalie/rattan-90x150-camsiz-kahve-masa-bahce-balkon-teras-p-194971985</t>
  </si>
  <si>
    <t>https://www.trendyol.com/moonshop/paket-hidrofor-otomatik-sistem-su-pompasi-5-yil-garantili-qb60-ve-hidrofor-2-yil-garantili-p-640305394</t>
  </si>
  <si>
    <t>https://www.hepsiburada.com/panel-cit-bahce-kapisi-gobek-kilitli-kollu-100x100-pm-HBC00007UIO96</t>
  </si>
  <si>
    <t>https://www.hepsiburada.com/ege-arge-bahce-bel-kuregi-yesil-boyali-sapli-pm-HB00000V62VS</t>
  </si>
  <si>
    <t>https://www.hepsiburada.com/renk-yapi-ruyasi-capa-duz-uclu-sapli-gurgen-sap-capa-iki-uclu-sivri-duz-fide-dibi-acmak-icin-pm-HBC000049YRT7</t>
  </si>
  <si>
    <t>https://www.hepsiburada.com/mesut-hirdavat-mesut-sapli-kazma-pm-HBC000016M5GQ</t>
  </si>
  <si>
    <t>https://www.hepsiburada.com/fiskars-135715-1016036-solid-toprak-tirmigi-pm-hrmps135715</t>
  </si>
  <si>
    <t>https://www.hepsiburada.com/altuna-1280-cicek-meyve-hasat-makasi-kisa-bicakli-pm-HB00000R37KN</t>
  </si>
  <si>
    <t>https://www.hepsiburada.com/fithome-sht-018-caki-tipi-180-mm-katlanir-budama-testeresi-p-HBCV00008730MD?magaza=elfenercim</t>
  </si>
  <si>
    <t>https://www.hepsiburada.com/guzelogullari-tarim-zeytin-ve-meyve-sebze-kasasi-20-kg-kapasiteli-pm-HBC00007FENGH</t>
  </si>
  <si>
    <t>https://www.hepsiburada.com/pratik-toprak-kazma-ekme-capalama-icin-korumali-bahce-bahcivan-eldiveni-pm-HBC00000YY9Q4</t>
  </si>
  <si>
    <t>https://www.hepsiburada.com/bant-marketim-katlanir-yuk-tasima-arabasi-portatif-tip-pm-HB000003Q0NT</t>
  </si>
  <si>
    <t>https://www.intfarming.com/tarim-aletleri/damlama-sulama-borusu/yassi-damlama-borusu-50-cm-delikli-17-lik</t>
  </si>
  <si>
    <t>https://www.intfarming.com/tarim-aletleri/tarimsal-su-deposu/dikey-tarimsal-su-deposu-beyaz-20000-lt</t>
  </si>
  <si>
    <t>https://www.intfarming.com/tarim-aletleri/deliksiz-malc-naylonu</t>
  </si>
  <si>
    <t>-</t>
  </si>
  <si>
    <t>https://www.trendyol.com/emek/vana-50-ad-damla-sulama-parcasi-aparati-damlama-borusu-hortumu-parcasi-ekleme-baglanti-parcalari-p-34374307
https://www.trendyol.com/emek/dirsek-50-ad-damla-sulama-parcasi-aparati-damlama-borusu-hortumu-parcasi-ekleme-baglanti-parcalari-p-41818620
https://www.trendyol.com/emek/nipel-100-ad-damla-sulama-parcasi-aparati-damlama-borusu-hortumu-parcasi-ekleme-baglanti-parcalari-p-34402783</t>
  </si>
  <si>
    <t>https://iconbanyo.com/urun/ege-yildiz-32-mm-10-atu-siyah-kangal-boru-100-metre</t>
  </si>
  <si>
    <t>https://www.trendyol.com/mur-cell/2-hp-scm-80-elektrikli-su-pompasi-su-motoru-2-inc-scm-p-46348136?boutiqueId=61&amp;merchantId=1070965</t>
  </si>
  <si>
    <t>https://www.hepsiburada.com/seray-kalde-su-basinc-dusurucu-regulator-3-4-rakorlu-ve-manometreli-pm-HBC000010F3NM</t>
  </si>
  <si>
    <t>https://www.n11.com/urun/10-adet-5-7-cm-ahsap-direk-150-cm-ahsap-direk-cit-diregi-19585127?magaza=evdekorazi#unf-review</t>
  </si>
  <si>
    <t>https://www.trendyol.com/firtina-damla-sulama/2-63-ayakli-filtre-p-150180429</t>
  </si>
  <si>
    <t>Hosting</t>
  </si>
  <si>
    <t>https://www.agrodaltarim.com.tr/index.php?route=product/search&amp;search=kabak%20&amp;category_id=5812&amp;sub_category=true&amp;description=true</t>
  </si>
  <si>
    <t>https://www.agrodaltarim.com.tr/index.php?route=product/search&amp;search=BİBER&amp;category_id=5812&amp;sub_category=true&amp;description=true</t>
  </si>
  <si>
    <t>https://www.agrodaltarim.com.tr/index.php?route=product/search&amp;search=FASULYE&amp;category_id=5812&amp;sub_category=true&amp;description=true</t>
  </si>
  <si>
    <t>https://www.agrodaltarim.com.tr/index.php?route=product/search&amp;search=PATLICAN&amp;category_id=5812&amp;sub_category=true&amp;description=true</t>
  </si>
  <si>
    <t>https://www.agrodaltarim.com.tr/index.php?route=product/search&amp;search=bamya%20&amp;category_id=5812&amp;sub_category=true&amp;description=true</t>
  </si>
  <si>
    <t>https://www.agrodaltarim.com.tr/index.php?route=product/search&amp;search=DOMATES&amp;category_id=5812&amp;sub_category=true&amp;description=true</t>
  </si>
  <si>
    <t>https://www.agrodaltarim.com.tr/index.php?route=product/search&amp;search=salatalık&amp;category_id=5812&amp;sub_category=true&amp;description=true</t>
  </si>
  <si>
    <t>https://www.agrodaltarim.com.tr/index.php?route=product/search&amp;search=acur&amp;category_id=5812&amp;sub_category=true&amp;description=true</t>
  </si>
  <si>
    <t xml:space="preserve"> / KG</t>
  </si>
  <si>
    <t>50 m2</t>
  </si>
  <si>
    <t>100 m2</t>
  </si>
  <si>
    <t>Calculator</t>
  </si>
  <si>
    <t>50 x 120</t>
  </si>
  <si>
    <t>45 x 65</t>
  </si>
  <si>
    <t>60 x 85</t>
  </si>
  <si>
    <t>65 x 90</t>
  </si>
  <si>
    <t>20 x 45</t>
  </si>
  <si>
    <t>110 x 110</t>
  </si>
  <si>
    <t>55 x 75</t>
  </si>
  <si>
    <t>100 x 135</t>
  </si>
  <si>
    <t>45 x 70</t>
  </si>
  <si>
    <t>Yedek Akçe tutulması gerekiyor. (Sezonluk kazancın %20'si vs.)</t>
  </si>
  <si>
    <t>Agricultural Land (1 Decare)</t>
  </si>
  <si>
    <t>Storage Facility (500 m²)</t>
  </si>
  <si>
    <t>Permit / Licensing Fees</t>
  </si>
  <si>
    <t>Organic Production Certificate</t>
  </si>
  <si>
    <t>Agricultural Insurance Premium</t>
  </si>
  <si>
    <t>Irrigation Union Subscription Fee
(Aydın Ovası Sağ Sahil Sulama Birliği)</t>
  </si>
  <si>
    <t>Drip Irrigation System</t>
  </si>
  <si>
    <t>Main Line Pipe (32 mm x 100 m)</t>
  </si>
  <si>
    <t>Drip Tubing (17 mm x 4000 m)</t>
  </si>
  <si>
    <t>Drip Valves / Fittings</t>
  </si>
  <si>
    <t>Water Tank (20 Tons)</t>
  </si>
  <si>
    <t>Water Pump</t>
  </si>
  <si>
    <t>Pressure Regulator</t>
  </si>
  <si>
    <t>Filter</t>
  </si>
  <si>
    <t>Mulch Film</t>
  </si>
  <si>
    <t>Packing Tables</t>
  </si>
  <si>
    <t>Computer</t>
  </si>
  <si>
    <t>Boundary Fencing Wire</t>
  </si>
  <si>
    <t>Boundary Fence Poles</t>
  </si>
  <si>
    <t>Panel Fence Garden Gate</t>
  </si>
  <si>
    <t>Backpack Sprayer (for Organic Spraying)</t>
  </si>
  <si>
    <t>Cooperative Establishment Costs</t>
  </si>
  <si>
    <t>Articles of Association Draft</t>
  </si>
  <si>
    <t>Notary Fees</t>
  </si>
  <si>
    <t>Book Certifications</t>
  </si>
  <si>
    <t>Stamp and Branded Documents</t>
  </si>
  <si>
    <t>Cooperative Training</t>
  </si>
  <si>
    <t>Initial Capital Contribution</t>
  </si>
  <si>
    <t>District Agriculture Office Production Registration</t>
  </si>
  <si>
    <t>Licenses &amp; Production Permits</t>
  </si>
  <si>
    <t>Well Permit / Water Use License</t>
  </si>
  <si>
    <t>Commercial License</t>
  </si>
  <si>
    <t>Food Production / Sales Permit</t>
  </si>
  <si>
    <t>Website</t>
  </si>
  <si>
    <t>Setup / Development</t>
  </si>
  <si>
    <t>Domain Name</t>
  </si>
  <si>
    <t>SEO Optimization</t>
  </si>
  <si>
    <t>Branding &amp; Marketing Costs</t>
  </si>
  <si>
    <t>Logo Design</t>
  </si>
  <si>
    <t>Organic Agriculture Fairs</t>
  </si>
  <si>
    <t>Influencer Marketing (Micro)</t>
  </si>
  <si>
    <t>Banner Advertising (Cost Per Click)</t>
  </si>
  <si>
    <t>Targeted Instagram Ads (CPC)</t>
  </si>
  <si>
    <t>Brochure Printing</t>
  </si>
  <si>
    <t>Basic Farming Hand Tools</t>
  </si>
  <si>
    <t>Pickaxe</t>
  </si>
  <si>
    <t>Hoe</t>
  </si>
  <si>
    <t>Shovel</t>
  </si>
  <si>
    <t>Rake</t>
  </si>
  <si>
    <t>Pruning Saw</t>
  </si>
  <si>
    <t>Harvesting, Packaging &amp; Transport Equipment</t>
  </si>
  <si>
    <t>Harvest Scissors</t>
  </si>
  <si>
    <t>Plastic Crates</t>
  </si>
  <si>
    <t>Electronic Scale (300 kg Capacity)</t>
  </si>
  <si>
    <t>Load Transport Vehicle</t>
  </si>
  <si>
    <t>Support Materials</t>
  </si>
  <si>
    <t>Gloves</t>
  </si>
  <si>
    <t>Tomato (2 Varieties)</t>
  </si>
  <si>
    <t>Pepper (5 Varieties)</t>
  </si>
  <si>
    <t>Okra (2 Varieties)</t>
  </si>
  <si>
    <t>Eggplant (2 Varieties)</t>
  </si>
  <si>
    <t>Bean (2 Varieties)</t>
  </si>
  <si>
    <t>Zucchini (2 Varieties)</t>
  </si>
  <si>
    <t>Cucumber (1 Variety)</t>
  </si>
  <si>
    <t>Stuffed Pepper (2 Varieties)</t>
  </si>
  <si>
    <t>Seeds</t>
  </si>
  <si>
    <t>Gherkin (1 Variety)</t>
  </si>
  <si>
    <t xml:space="preserve">Initial Investment </t>
  </si>
  <si>
    <t>Annual Fixed Cost</t>
  </si>
  <si>
    <t>Annual Variable Cost</t>
  </si>
  <si>
    <t>Annual Total Cost</t>
  </si>
  <si>
    <t>Product Shipping Cost</t>
  </si>
  <si>
    <t>Variable Costs</t>
  </si>
  <si>
    <t>Expectation</t>
  </si>
  <si>
    <t>92 Days</t>
  </si>
  <si>
    <t xml:space="preserve"> / Hour</t>
  </si>
  <si>
    <t>Total Variable Costs</t>
  </si>
  <si>
    <t>Unit</t>
  </si>
  <si>
    <t>Amount</t>
  </si>
  <si>
    <t>Tomato</t>
  </si>
  <si>
    <t>Cucumber</t>
  </si>
  <si>
    <t>Pepper</t>
  </si>
  <si>
    <t>Eggplant</t>
  </si>
  <si>
    <t>Bean</t>
  </si>
  <si>
    <t>Zucchini</t>
  </si>
  <si>
    <t>Stuffed Pepper</t>
  </si>
  <si>
    <t>Gherkin</t>
  </si>
  <si>
    <t>Okra</t>
  </si>
  <si>
    <t>TOTAL</t>
  </si>
  <si>
    <t>Expected Demand (m2)</t>
  </si>
  <si>
    <t>Planting Spacing (cm)</t>
  </si>
  <si>
    <t>Area per Seedling (m2)</t>
  </si>
  <si>
    <t>Harvest per Seedling (kg)</t>
  </si>
  <si>
    <t>Wastage Rate</t>
  </si>
  <si>
    <t>Harvesting After Wastage (kg)</t>
  </si>
  <si>
    <t>Efficiency
(kg/m2)</t>
  </si>
  <si>
    <t>Culvitation Area (%)</t>
  </si>
  <si>
    <t>Culvitation Area (m2)</t>
  </si>
  <si>
    <t>Total Seedlings</t>
  </si>
  <si>
    <t>Estimated Harvest (kg)</t>
  </si>
  <si>
    <t>* Data in the table are taken from TurkStat.</t>
  </si>
  <si>
    <t>Fixed Costs</t>
  </si>
  <si>
    <t>Unit Cost</t>
  </si>
  <si>
    <t>Total Cost</t>
  </si>
  <si>
    <t>Annual 
Fixed Cost</t>
  </si>
  <si>
    <t>Duration of Use (Year)</t>
  </si>
  <si>
    <t>Total
Annual Revenue</t>
  </si>
  <si>
    <t>Annual
Rental Price</t>
  </si>
  <si>
    <t>Estimated Number of Customers</t>
  </si>
  <si>
    <t>Estimated
Demand</t>
  </si>
  <si>
    <t>Total Number of Days</t>
  </si>
  <si>
    <t>Irrigation Frequency</t>
  </si>
  <si>
    <t>Number of Irrigation Days</t>
  </si>
  <si>
    <t>Monthly Water Consumption (Tone)</t>
  </si>
  <si>
    <t>May</t>
  </si>
  <si>
    <t>June</t>
  </si>
  <si>
    <t>July</t>
  </si>
  <si>
    <t>August</t>
  </si>
  <si>
    <t>Month</t>
  </si>
  <si>
    <t>1 in 2 days</t>
  </si>
  <si>
    <t>2 in 3 days</t>
  </si>
  <si>
    <t>https://www.nissert.com.tr/2025/organik_tarim_kontrol_sertifika_ucretlendirme.pdf?utm</t>
  </si>
  <si>
    <t>Basic Cooperative Training</t>
  </si>
  <si>
    <t>https://esertifika.anadolu.edu.tr/program/142/kooperatifcilik-egitim-programi</t>
  </si>
  <si>
    <t>https://www.samsuntso.org.tr/tescil/kooperatif-kurulus-islemleri-409.htm</t>
  </si>
  <si>
    <t>https://armut.com/?gad_source=1&amp;gad_campaignid=121589134&amp;gclid=Cj0KCQjw_dbABhC5ARIsAAh2Z-RJ7lJVfDC_2dzDevjebrarVKnldkh5HDb4RdcVPGqYwhFIsHbYLiwaAsEbEALw_wcB</t>
  </si>
  <si>
    <t>https://influenceasy.com/blog/influencer-marketing-reklam-ucretleri-nedir#:~:text=Mikro%20influencer%20reklam%20ücretleri%201000,100%20bin%20liralara%20kadar%20çıkabiliyor.</t>
  </si>
  <si>
    <t>https://longwaymedia.com/google-reklam-fiyatlari/#:~:text=Google%20Ads%20reklam%20ücretleri%2C%20aylık,da%20reklamlarınızın%20yayınlanması%20için%20zorunludur.</t>
  </si>
  <si>
    <t>https://lemmarkt.com/matbaa-urunleri?o=3&amp;page=1</t>
  </si>
  <si>
    <t>https://gurmeizmir.izfas.com.tr/tr</t>
  </si>
  <si>
    <t>https://www.ayto.org.tr/tr/ilan/119</t>
  </si>
  <si>
    <t>https://www.tarsim.gov.tr</t>
  </si>
  <si>
    <t>https://www.sahibinden.com</t>
  </si>
  <si>
    <t>ID</t>
  </si>
  <si>
    <t>3.1</t>
  </si>
  <si>
    <t>6.1</t>
  </si>
  <si>
    <t>6.2</t>
  </si>
  <si>
    <t>6.3</t>
  </si>
  <si>
    <t>6.4</t>
  </si>
  <si>
    <t>6.5</t>
  </si>
  <si>
    <t>6.6</t>
  </si>
  <si>
    <t>6.7</t>
  </si>
  <si>
    <t>7</t>
  </si>
  <si>
    <t>8</t>
  </si>
  <si>
    <t>9</t>
  </si>
  <si>
    <t>10</t>
  </si>
  <si>
    <t>11</t>
  </si>
  <si>
    <t>12</t>
  </si>
  <si>
    <t>13</t>
  </si>
  <si>
    <t>14</t>
  </si>
  <si>
    <t>14.1</t>
  </si>
  <si>
    <t>14.2</t>
  </si>
  <si>
    <t>14.3</t>
  </si>
  <si>
    <t>14.4</t>
  </si>
  <si>
    <t>14.5</t>
  </si>
  <si>
    <t>14.6</t>
  </si>
  <si>
    <t>15</t>
  </si>
  <si>
    <t>15.1</t>
  </si>
  <si>
    <t>15.2</t>
  </si>
  <si>
    <t>15.3</t>
  </si>
  <si>
    <t>15.4</t>
  </si>
  <si>
    <t>16</t>
  </si>
  <si>
    <t>16.1</t>
  </si>
  <si>
    <t>16.2</t>
  </si>
  <si>
    <t>16.3</t>
  </si>
  <si>
    <t>16.4</t>
  </si>
  <si>
    <t>17</t>
  </si>
  <si>
    <t>17.1</t>
  </si>
  <si>
    <t>17.2</t>
  </si>
  <si>
    <t>17.</t>
  </si>
  <si>
    <t>17.4</t>
  </si>
  <si>
    <t>17.5</t>
  </si>
  <si>
    <t>17.6</t>
  </si>
  <si>
    <t>18</t>
  </si>
  <si>
    <t>19</t>
  </si>
  <si>
    <t>19.1</t>
  </si>
  <si>
    <t>19.2</t>
  </si>
  <si>
    <t>19.3</t>
  </si>
  <si>
    <t>19.4</t>
  </si>
  <si>
    <t>19.5</t>
  </si>
  <si>
    <t>20</t>
  </si>
  <si>
    <t>20.1</t>
  </si>
  <si>
    <t>20.2</t>
  </si>
  <si>
    <t>20.3</t>
  </si>
  <si>
    <t>20.4</t>
  </si>
  <si>
    <t>21</t>
  </si>
  <si>
    <t>21.1</t>
  </si>
  <si>
    <t>22</t>
  </si>
  <si>
    <t>22.1</t>
  </si>
  <si>
    <t>22.2</t>
  </si>
  <si>
    <t>22.3</t>
  </si>
  <si>
    <t>22.4</t>
  </si>
  <si>
    <t>22.5</t>
  </si>
  <si>
    <t>22.6</t>
  </si>
  <si>
    <t>22.7</t>
  </si>
  <si>
    <t>22.8</t>
  </si>
  <si>
    <t>22.9</t>
  </si>
  <si>
    <t>References</t>
  </si>
  <si>
    <t>Estimated Harvest
(kg)</t>
  </si>
  <si>
    <t>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</si>
</sst>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-[$₺-41F]* #,##0_-;\-[$₺-41F]* #,##0_-;_-[$₺-41F]* &quot;-&quot;??_-;_-@_-"/>
    <numFmt numFmtId="166" formatCode="_-[$₺-41F]* #,##0.00_-;\-[$₺-41F]* #,##0.00_-;_-[$₺-41F]* &quot;-&quot;??_-;_-@_-"/>
    <numFmt numFmtId="167" formatCode="0.0"/>
    <numFmt numFmtId="168" formatCode="_-* #,##0_-;\-* #,##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charset val="16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26">
    <xf numFmtId="0" fontId="0" fillId="0" borderId="0" xfId="0"/>
    <xf numFmtId="0" fontId="0" fillId="0" borderId="0" xfId="0" applyBorder="1"/>
    <xf numFmtId="166" fontId="0" fillId="0" borderId="2" xfId="0" applyNumberFormat="1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0" xfId="0" applyFill="1"/>
    <xf numFmtId="0" fontId="0" fillId="0" borderId="1" xfId="0" applyBorder="1"/>
    <xf numFmtId="166" fontId="0" fillId="0" borderId="1" xfId="0" applyNumberForma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1" fontId="0" fillId="0" borderId="1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66" fontId="0" fillId="0" borderId="0" xfId="0" applyNumberFormat="1"/>
    <xf numFmtId="0" fontId="3" fillId="0" borderId="0" xfId="0" applyFont="1"/>
    <xf numFmtId="0" fontId="0" fillId="0" borderId="0" xfId="0" applyAlignment="1">
      <alignment vertical="center" wrapText="1"/>
    </xf>
    <xf numFmtId="168" fontId="0" fillId="0" borderId="1" xfId="1" applyNumberFormat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9" fontId="3" fillId="0" borderId="0" xfId="0" applyNumberFormat="1" applyFont="1" applyFill="1" applyBorder="1"/>
    <xf numFmtId="9" fontId="3" fillId="0" borderId="0" xfId="0" applyNumberFormat="1" applyFont="1" applyFill="1" applyBorder="1" applyAlignment="1">
      <alignment horizontal="center"/>
    </xf>
    <xf numFmtId="9" fontId="3" fillId="0" borderId="0" xfId="2" applyFont="1" applyFill="1" applyBorder="1" applyAlignment="1">
      <alignment horizontal="right"/>
    </xf>
    <xf numFmtId="168" fontId="3" fillId="0" borderId="0" xfId="1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3" fillId="0" borderId="0" xfId="0" applyFont="1" applyFill="1" applyBorder="1"/>
    <xf numFmtId="168" fontId="0" fillId="0" borderId="0" xfId="0" applyNumberFormat="1"/>
    <xf numFmtId="2" fontId="0" fillId="0" borderId="1" xfId="0" applyNumberFormat="1" applyBorder="1"/>
    <xf numFmtId="165" fontId="0" fillId="0" borderId="0" xfId="0" applyNumberFormat="1" applyBorder="1"/>
    <xf numFmtId="165" fontId="3" fillId="0" borderId="0" xfId="0" applyNumberFormat="1" applyFont="1" applyBorder="1"/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Fill="1" applyBorder="1" applyAlignment="1">
      <alignment horizontal="left"/>
    </xf>
    <xf numFmtId="166" fontId="0" fillId="0" borderId="2" xfId="0" applyNumberFormat="1" applyFill="1" applyBorder="1" applyAlignment="1">
      <alignment horizontal="center"/>
    </xf>
    <xf numFmtId="166" fontId="0" fillId="0" borderId="1" xfId="0" applyNumberFormat="1" applyFill="1" applyBorder="1"/>
    <xf numFmtId="167" fontId="0" fillId="0" borderId="1" xfId="0" applyNumberFormat="1" applyFill="1" applyBorder="1" applyAlignment="1">
      <alignment horizontal="center"/>
    </xf>
    <xf numFmtId="166" fontId="0" fillId="0" borderId="1" xfId="0" applyNumberFormat="1" applyFill="1" applyBorder="1" applyAlignment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9" fontId="0" fillId="0" borderId="1" xfId="2" applyFont="1" applyBorder="1" applyAlignment="1">
      <alignment horizontal="center" vertical="center"/>
    </xf>
    <xf numFmtId="2" fontId="0" fillId="0" borderId="1" xfId="2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3" xfId="0" applyFill="1" applyBorder="1" applyAlignment="1"/>
    <xf numFmtId="0" fontId="0" fillId="0" borderId="4" xfId="0" applyFill="1" applyBorder="1" applyAlignment="1"/>
    <xf numFmtId="49" fontId="0" fillId="0" borderId="2" xfId="0" applyNumberFormat="1" applyBorder="1" applyAlignment="1">
      <alignment horizontal="center" vertical="center"/>
    </xf>
    <xf numFmtId="0" fontId="0" fillId="0" borderId="6" xfId="0" applyBorder="1"/>
    <xf numFmtId="0" fontId="0" fillId="0" borderId="2" xfId="0" applyBorder="1"/>
    <xf numFmtId="166" fontId="0" fillId="2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/>
    <xf numFmtId="0" fontId="0" fillId="0" borderId="3" xfId="0" applyFill="1" applyBorder="1" applyAlignment="1">
      <alignment horizontal="left"/>
    </xf>
    <xf numFmtId="0" fontId="0" fillId="0" borderId="4" xfId="0" applyFill="1" applyBorder="1" applyAlignment="1">
      <alignment horizontal="left"/>
    </xf>
    <xf numFmtId="166" fontId="2" fillId="0" borderId="2" xfId="0" applyNumberFormat="1" applyFont="1" applyFill="1" applyBorder="1" applyAlignment="1">
      <alignment horizontal="center"/>
    </xf>
    <xf numFmtId="166" fontId="2" fillId="0" borderId="3" xfId="0" applyNumberFormat="1" applyFont="1" applyFill="1" applyBorder="1" applyAlignment="1">
      <alignment horizontal="center"/>
    </xf>
    <xf numFmtId="166" fontId="2" fillId="0" borderId="4" xfId="0" applyNumberFormat="1" applyFont="1" applyFill="1" applyBorder="1" applyAlignment="1">
      <alignment horizontal="center"/>
    </xf>
    <xf numFmtId="166" fontId="0" fillId="0" borderId="2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0" borderId="0" xfId="0" applyBorder="1" applyAlignment="1">
      <alignment horizontal="right"/>
    </xf>
    <xf numFmtId="0" fontId="5" fillId="3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/>
    </xf>
    <xf numFmtId="166" fontId="10" fillId="4" borderId="2" xfId="0" applyNumberFormat="1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66" fontId="10" fillId="4" borderId="1" xfId="0" applyNumberFormat="1" applyFont="1" applyFill="1" applyBorder="1"/>
    <xf numFmtId="1" fontId="10" fillId="4" borderId="1" xfId="0" applyNumberFormat="1" applyFont="1" applyFill="1" applyBorder="1" applyAlignment="1">
      <alignment horizontal="center"/>
    </xf>
    <xf numFmtId="0" fontId="10" fillId="4" borderId="2" xfId="0" applyFont="1" applyFill="1" applyBorder="1" applyAlignment="1">
      <alignment horizontal="left"/>
    </xf>
    <xf numFmtId="0" fontId="10" fillId="4" borderId="3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left"/>
    </xf>
    <xf numFmtId="0" fontId="10" fillId="4" borderId="3" xfId="0" applyFont="1" applyFill="1" applyBorder="1" applyAlignment="1">
      <alignment horizontal="left"/>
    </xf>
    <xf numFmtId="0" fontId="10" fillId="4" borderId="4" xfId="0" applyFont="1" applyFill="1" applyBorder="1" applyAlignment="1">
      <alignment horizontal="left"/>
    </xf>
    <xf numFmtId="0" fontId="10" fillId="4" borderId="2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left" wrapText="1"/>
    </xf>
    <xf numFmtId="0" fontId="10" fillId="4" borderId="3" xfId="0" applyFont="1" applyFill="1" applyBorder="1" applyAlignment="1">
      <alignment horizontal="left" wrapText="1"/>
    </xf>
    <xf numFmtId="0" fontId="10" fillId="4" borderId="4" xfId="0" applyFont="1" applyFill="1" applyBorder="1" applyAlignment="1">
      <alignment horizontal="left" wrapText="1"/>
    </xf>
    <xf numFmtId="166" fontId="10" fillId="4" borderId="2" xfId="0" applyNumberFormat="1" applyFont="1" applyFill="1" applyBorder="1" applyAlignment="1">
      <alignment horizontal="center" vertical="center"/>
    </xf>
    <xf numFmtId="166" fontId="10" fillId="4" borderId="1" xfId="0" applyNumberFormat="1" applyFont="1" applyFill="1" applyBorder="1" applyAlignment="1">
      <alignment vertical="center"/>
    </xf>
    <xf numFmtId="0" fontId="10" fillId="4" borderId="2" xfId="0" applyFont="1" applyFill="1" applyBorder="1" applyAlignment="1"/>
    <xf numFmtId="0" fontId="10" fillId="4" borderId="3" xfId="0" applyFont="1" applyFill="1" applyBorder="1" applyAlignment="1"/>
    <xf numFmtId="0" fontId="10" fillId="4" borderId="4" xfId="0" applyFont="1" applyFill="1" applyBorder="1" applyAlignment="1"/>
    <xf numFmtId="49" fontId="10" fillId="4" borderId="1" xfId="0" applyNumberFormat="1" applyFont="1" applyFill="1" applyBorder="1" applyAlignment="1">
      <alignment horizontal="center" vertical="center"/>
    </xf>
    <xf numFmtId="166" fontId="10" fillId="4" borderId="1" xfId="0" applyNumberFormat="1" applyFont="1" applyFill="1" applyBorder="1" applyAlignment="1">
      <alignment horizontal="center"/>
    </xf>
    <xf numFmtId="0" fontId="10" fillId="4" borderId="1" xfId="0" applyFont="1" applyFill="1" applyBorder="1" applyAlignment="1"/>
    <xf numFmtId="0" fontId="10" fillId="4" borderId="5" xfId="0" applyFont="1" applyFill="1" applyBorder="1" applyAlignment="1">
      <alignment horizontal="left"/>
    </xf>
    <xf numFmtId="167" fontId="10" fillId="4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166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66" fontId="5" fillId="3" borderId="2" xfId="0" applyNumberFormat="1" applyFont="1" applyFill="1" applyBorder="1" applyAlignment="1">
      <alignment horizontal="center"/>
    </xf>
    <xf numFmtId="166" fontId="5" fillId="3" borderId="3" xfId="0" applyNumberFormat="1" applyFont="1" applyFill="1" applyBorder="1" applyAlignment="1">
      <alignment horizontal="center"/>
    </xf>
    <xf numFmtId="166" fontId="5" fillId="3" borderId="4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9" fontId="5" fillId="3" borderId="2" xfId="0" applyNumberFormat="1" applyFont="1" applyFill="1" applyBorder="1" applyAlignment="1">
      <alignment horizontal="center" vertical="center"/>
    </xf>
    <xf numFmtId="9" fontId="5" fillId="3" borderId="3" xfId="0" applyNumberFormat="1" applyFont="1" applyFill="1" applyBorder="1" applyAlignment="1">
      <alignment horizontal="center" vertical="center"/>
    </xf>
    <xf numFmtId="9" fontId="5" fillId="3" borderId="4" xfId="0" applyNumberFormat="1" applyFont="1" applyFill="1" applyBorder="1" applyAlignment="1">
      <alignment horizontal="center" vertical="center"/>
    </xf>
    <xf numFmtId="9" fontId="5" fillId="3" borderId="1" xfId="2" applyFont="1" applyFill="1" applyBorder="1" applyAlignment="1">
      <alignment horizontal="right" vertical="center"/>
    </xf>
    <xf numFmtId="168" fontId="5" fillId="3" borderId="1" xfId="1" applyNumberFormat="1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/>
    <xf numFmtId="0" fontId="9" fillId="3" borderId="1" xfId="0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165" fontId="1" fillId="0" borderId="1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0" xfId="0" applyFont="1" applyFill="1"/>
    <xf numFmtId="2" fontId="7" fillId="3" borderId="0" xfId="0" applyNumberFormat="1" applyFont="1" applyFill="1" applyAlignment="1">
      <alignment horizontal="right"/>
    </xf>
    <xf numFmtId="0" fontId="9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68" fontId="8" fillId="4" borderId="1" xfId="1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yto.org.tr/tr/ilan/119" TargetMode="External"/><Relationship Id="rId2" Type="http://schemas.openxmlformats.org/officeDocument/2006/relationships/hyperlink" Target="https://www.tarsim.gov.tr/" TargetMode="External"/><Relationship Id="rId1" Type="http://schemas.openxmlformats.org/officeDocument/2006/relationships/hyperlink" Target="https://www.nissert.com.tr/2025/organik_tarim_kontrol_sertifika_ucretlendirme.pdf?ut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esertifika.anadolu.edu.tr/program/142/kooperatifcilik-egitim-programi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82"/>
  <sheetViews>
    <sheetView showGridLines="0" tabSelected="1" zoomScaleNormal="100" workbookViewId="0">
      <selection activeCell="Q8" sqref="Q8"/>
    </sheetView>
  </sheetViews>
  <sheetFormatPr defaultRowHeight="14.4" x14ac:dyDescent="0.3"/>
  <cols>
    <col min="1" max="1" width="3.21875" customWidth="1"/>
    <col min="6" max="6" width="15.88671875" customWidth="1"/>
    <col min="7" max="7" width="18.88671875" customWidth="1"/>
    <col min="8" max="8" width="9.44140625" customWidth="1"/>
    <col min="9" max="9" width="20.109375" customWidth="1"/>
    <col min="10" max="10" width="22.33203125" customWidth="1"/>
    <col min="11" max="11" width="18.21875" customWidth="1"/>
    <col min="15" max="15" width="8.88671875" customWidth="1"/>
  </cols>
  <sheetData>
    <row r="2" spans="2:17" ht="28.8" x14ac:dyDescent="0.3">
      <c r="B2" s="64" t="s">
        <v>181</v>
      </c>
      <c r="C2" s="65" t="s">
        <v>149</v>
      </c>
      <c r="D2" s="65"/>
      <c r="E2" s="65"/>
      <c r="F2" s="65"/>
      <c r="G2" s="66" t="s">
        <v>150</v>
      </c>
      <c r="H2" s="67" t="s">
        <v>126</v>
      </c>
      <c r="I2" s="66" t="s">
        <v>151</v>
      </c>
      <c r="J2" s="66" t="s">
        <v>153</v>
      </c>
      <c r="K2" s="66" t="s">
        <v>152</v>
      </c>
      <c r="L2" s="68" t="s">
        <v>245</v>
      </c>
      <c r="M2" s="68"/>
      <c r="N2" s="68"/>
      <c r="O2" s="68"/>
      <c r="Q2" s="4"/>
    </row>
    <row r="3" spans="2:17" x14ac:dyDescent="0.3">
      <c r="B3" s="69">
        <v>1</v>
      </c>
      <c r="C3" s="70" t="s">
        <v>48</v>
      </c>
      <c r="D3" s="70"/>
      <c r="E3" s="70"/>
      <c r="F3" s="70"/>
      <c r="G3" s="71">
        <v>3500</v>
      </c>
      <c r="H3" s="72">
        <v>5</v>
      </c>
      <c r="I3" s="73">
        <f>G3*H3</f>
        <v>17500</v>
      </c>
      <c r="J3" s="74">
        <v>1</v>
      </c>
      <c r="K3" s="73">
        <f>I3/J3</f>
        <v>17500</v>
      </c>
      <c r="L3" s="70" t="s">
        <v>180</v>
      </c>
      <c r="M3" s="70" t="s">
        <v>180</v>
      </c>
      <c r="N3" s="70" t="s">
        <v>180</v>
      </c>
      <c r="O3" s="70" t="s">
        <v>180</v>
      </c>
      <c r="Q3" s="4"/>
    </row>
    <row r="4" spans="2:17" x14ac:dyDescent="0.3">
      <c r="B4" s="69">
        <v>2</v>
      </c>
      <c r="C4" s="70" t="s">
        <v>49</v>
      </c>
      <c r="D4" s="70"/>
      <c r="E4" s="70"/>
      <c r="F4" s="70"/>
      <c r="G4" s="71">
        <v>20000</v>
      </c>
      <c r="H4" s="72">
        <v>1</v>
      </c>
      <c r="I4" s="73">
        <f t="shared" ref="I4" si="0">G4*H4</f>
        <v>20000</v>
      </c>
      <c r="J4" s="74">
        <v>1</v>
      </c>
      <c r="K4" s="73">
        <f>I4/J4</f>
        <v>20000</v>
      </c>
      <c r="L4" s="70" t="s">
        <v>180</v>
      </c>
      <c r="M4" s="70" t="s">
        <v>180</v>
      </c>
      <c r="N4" s="70" t="s">
        <v>180</v>
      </c>
      <c r="O4" s="70" t="s">
        <v>180</v>
      </c>
      <c r="Q4" s="4"/>
    </row>
    <row r="5" spans="2:17" x14ac:dyDescent="0.3">
      <c r="B5" s="69">
        <v>3</v>
      </c>
      <c r="C5" s="75" t="s">
        <v>50</v>
      </c>
      <c r="D5" s="76"/>
      <c r="E5" s="76"/>
      <c r="F5" s="76"/>
      <c r="G5" s="76"/>
      <c r="H5" s="76"/>
      <c r="I5" s="76"/>
      <c r="J5" s="76"/>
      <c r="K5" s="73"/>
      <c r="L5" s="70"/>
      <c r="M5" s="70"/>
      <c r="N5" s="70"/>
      <c r="O5" s="70"/>
      <c r="Q5" s="4"/>
    </row>
    <row r="6" spans="2:17" x14ac:dyDescent="0.3">
      <c r="B6" s="40" t="s">
        <v>182</v>
      </c>
      <c r="C6" s="27"/>
      <c r="D6" s="49" t="s">
        <v>51</v>
      </c>
      <c r="E6" s="49"/>
      <c r="F6" s="50"/>
      <c r="G6" s="2">
        <v>6000</v>
      </c>
      <c r="H6" s="3">
        <v>1</v>
      </c>
      <c r="I6" s="29">
        <f>G6*H6</f>
        <v>6000</v>
      </c>
      <c r="J6" s="8">
        <v>1</v>
      </c>
      <c r="K6" s="29">
        <f t="shared" ref="K6:K8" si="1">I6/J6</f>
        <v>6000</v>
      </c>
      <c r="L6" s="58" t="s">
        <v>169</v>
      </c>
      <c r="M6" s="58" t="s">
        <v>169</v>
      </c>
      <c r="N6" s="58" t="s">
        <v>169</v>
      </c>
      <c r="O6" s="58" t="s">
        <v>169</v>
      </c>
      <c r="Q6" s="4"/>
    </row>
    <row r="7" spans="2:17" x14ac:dyDescent="0.3">
      <c r="B7" s="69">
        <v>4</v>
      </c>
      <c r="C7" s="77" t="s">
        <v>52</v>
      </c>
      <c r="D7" s="78"/>
      <c r="E7" s="78"/>
      <c r="F7" s="79"/>
      <c r="G7" s="71">
        <v>1200</v>
      </c>
      <c r="H7" s="72">
        <v>5</v>
      </c>
      <c r="I7" s="73">
        <f t="shared" ref="I7:I8" si="2">G7*H7</f>
        <v>6000</v>
      </c>
      <c r="J7" s="74">
        <v>1</v>
      </c>
      <c r="K7" s="73">
        <f t="shared" si="1"/>
        <v>6000</v>
      </c>
      <c r="L7" s="80" t="s">
        <v>179</v>
      </c>
      <c r="M7" s="81"/>
      <c r="N7" s="81"/>
      <c r="O7" s="82"/>
      <c r="Q7" s="4"/>
    </row>
    <row r="8" spans="2:17" ht="28.8" customHeight="1" x14ac:dyDescent="0.3">
      <c r="B8" s="69">
        <v>5</v>
      </c>
      <c r="C8" s="83" t="s">
        <v>53</v>
      </c>
      <c r="D8" s="84"/>
      <c r="E8" s="84"/>
      <c r="F8" s="85"/>
      <c r="G8" s="86">
        <v>750</v>
      </c>
      <c r="H8" s="69">
        <v>1</v>
      </c>
      <c r="I8" s="87">
        <f t="shared" si="2"/>
        <v>750</v>
      </c>
      <c r="J8" s="74">
        <v>1</v>
      </c>
      <c r="K8" s="87">
        <f t="shared" si="1"/>
        <v>750</v>
      </c>
      <c r="L8" s="80" t="s">
        <v>178</v>
      </c>
      <c r="M8" s="81"/>
      <c r="N8" s="81"/>
      <c r="O8" s="82"/>
      <c r="Q8" s="4"/>
    </row>
    <row r="9" spans="2:17" x14ac:dyDescent="0.3">
      <c r="B9" s="69">
        <v>6</v>
      </c>
      <c r="C9" s="88" t="s">
        <v>54</v>
      </c>
      <c r="D9" s="89"/>
      <c r="E9" s="89"/>
      <c r="F9" s="89"/>
      <c r="G9" s="89"/>
      <c r="H9" s="89"/>
      <c r="I9" s="89"/>
      <c r="J9" s="89"/>
      <c r="K9" s="90"/>
      <c r="L9" s="77"/>
      <c r="M9" s="78"/>
      <c r="N9" s="78"/>
      <c r="O9" s="79"/>
      <c r="Q9" s="4"/>
    </row>
    <row r="10" spans="2:17" x14ac:dyDescent="0.3">
      <c r="B10" s="40" t="s">
        <v>183</v>
      </c>
      <c r="C10" s="27"/>
      <c r="D10" s="49" t="s">
        <v>55</v>
      </c>
      <c r="E10" s="49"/>
      <c r="F10" s="50"/>
      <c r="G10" s="28">
        <v>3012.75</v>
      </c>
      <c r="H10" s="3">
        <v>4</v>
      </c>
      <c r="I10" s="6">
        <f t="shared" ref="I10:I72" si="3">G10*H10</f>
        <v>12051</v>
      </c>
      <c r="J10" s="8">
        <v>5</v>
      </c>
      <c r="K10" s="6">
        <f t="shared" ref="K10:K62" si="4">I10/J10</f>
        <v>2410.1999999999998</v>
      </c>
      <c r="L10" s="58" t="s">
        <v>20</v>
      </c>
      <c r="M10" s="58" t="s">
        <v>20</v>
      </c>
      <c r="N10" s="58" t="s">
        <v>20</v>
      </c>
      <c r="O10" s="58" t="s">
        <v>20</v>
      </c>
      <c r="Q10" s="4"/>
    </row>
    <row r="11" spans="2:17" x14ac:dyDescent="0.3">
      <c r="B11" s="40" t="s">
        <v>184</v>
      </c>
      <c r="C11" s="27"/>
      <c r="D11" s="49" t="s">
        <v>56</v>
      </c>
      <c r="E11" s="49"/>
      <c r="F11" s="50"/>
      <c r="G11" s="28">
        <v>4250</v>
      </c>
      <c r="H11" s="3">
        <v>2</v>
      </c>
      <c r="I11" s="6">
        <f t="shared" si="3"/>
        <v>8500</v>
      </c>
      <c r="J11" s="8">
        <v>5</v>
      </c>
      <c r="K11" s="6">
        <f t="shared" si="4"/>
        <v>1700</v>
      </c>
      <c r="L11" s="58" t="s">
        <v>15</v>
      </c>
      <c r="M11" s="58" t="s">
        <v>15</v>
      </c>
      <c r="N11" s="58" t="s">
        <v>15</v>
      </c>
      <c r="O11" s="58" t="s">
        <v>15</v>
      </c>
      <c r="Q11" s="4"/>
    </row>
    <row r="12" spans="2:17" x14ac:dyDescent="0.3">
      <c r="B12" s="40" t="s">
        <v>185</v>
      </c>
      <c r="C12" s="27"/>
      <c r="D12" s="49" t="s">
        <v>57</v>
      </c>
      <c r="E12" s="49"/>
      <c r="F12" s="50"/>
      <c r="G12" s="28">
        <v>7.07</v>
      </c>
      <c r="H12" s="3">
        <v>100</v>
      </c>
      <c r="I12" s="6">
        <f t="shared" si="3"/>
        <v>707</v>
      </c>
      <c r="J12" s="8">
        <v>5</v>
      </c>
      <c r="K12" s="6">
        <f t="shared" si="4"/>
        <v>141.4</v>
      </c>
      <c r="L12" s="58" t="s">
        <v>19</v>
      </c>
      <c r="M12" s="58" t="s">
        <v>19</v>
      </c>
      <c r="N12" s="58" t="s">
        <v>19</v>
      </c>
      <c r="O12" s="58" t="s">
        <v>19</v>
      </c>
      <c r="Q12" s="4"/>
    </row>
    <row r="13" spans="2:17" x14ac:dyDescent="0.3">
      <c r="B13" s="40" t="s">
        <v>186</v>
      </c>
      <c r="C13" s="27"/>
      <c r="D13" s="49" t="s">
        <v>58</v>
      </c>
      <c r="E13" s="49"/>
      <c r="F13" s="50"/>
      <c r="G13" s="28">
        <v>45990.9</v>
      </c>
      <c r="H13" s="3">
        <v>1</v>
      </c>
      <c r="I13" s="6">
        <f>G13*H13</f>
        <v>45990.9</v>
      </c>
      <c r="J13" s="8">
        <v>10</v>
      </c>
      <c r="K13" s="6">
        <f t="shared" si="4"/>
        <v>4599.09</v>
      </c>
      <c r="L13" s="58" t="s">
        <v>16</v>
      </c>
      <c r="M13" s="58" t="s">
        <v>16</v>
      </c>
      <c r="N13" s="58" t="s">
        <v>16</v>
      </c>
      <c r="O13" s="58" t="s">
        <v>16</v>
      </c>
      <c r="Q13" s="4"/>
    </row>
    <row r="14" spans="2:17" x14ac:dyDescent="0.3">
      <c r="B14" s="40" t="s">
        <v>187</v>
      </c>
      <c r="C14" s="27"/>
      <c r="D14" s="49" t="s">
        <v>59</v>
      </c>
      <c r="E14" s="49"/>
      <c r="F14" s="50"/>
      <c r="G14" s="28">
        <v>3649</v>
      </c>
      <c r="H14" s="3">
        <v>1</v>
      </c>
      <c r="I14" s="6">
        <f t="shared" ref="I14:I16" si="5">G14*H14</f>
        <v>3649</v>
      </c>
      <c r="J14" s="8">
        <v>7</v>
      </c>
      <c r="K14" s="6">
        <f t="shared" si="4"/>
        <v>521.28571428571433</v>
      </c>
      <c r="L14" s="58" t="s">
        <v>21</v>
      </c>
      <c r="M14" s="58" t="s">
        <v>21</v>
      </c>
      <c r="N14" s="58" t="s">
        <v>21</v>
      </c>
      <c r="O14" s="58" t="s">
        <v>21</v>
      </c>
      <c r="Q14" s="4"/>
    </row>
    <row r="15" spans="2:17" x14ac:dyDescent="0.3">
      <c r="B15" s="40" t="s">
        <v>188</v>
      </c>
      <c r="C15" s="27"/>
      <c r="D15" s="49" t="s">
        <v>60</v>
      </c>
      <c r="E15" s="49"/>
      <c r="F15" s="50"/>
      <c r="G15" s="28">
        <v>1061</v>
      </c>
      <c r="H15" s="3">
        <v>1</v>
      </c>
      <c r="I15" s="6">
        <f t="shared" si="5"/>
        <v>1061</v>
      </c>
      <c r="J15" s="8">
        <v>7</v>
      </c>
      <c r="K15" s="6">
        <f t="shared" si="4"/>
        <v>151.57142857142858</v>
      </c>
      <c r="L15" s="58" t="s">
        <v>22</v>
      </c>
      <c r="M15" s="58" t="s">
        <v>22</v>
      </c>
      <c r="N15" s="58" t="s">
        <v>22</v>
      </c>
      <c r="O15" s="58" t="s">
        <v>22</v>
      </c>
      <c r="Q15" s="4"/>
    </row>
    <row r="16" spans="2:17" x14ac:dyDescent="0.3">
      <c r="B16" s="40" t="s">
        <v>189</v>
      </c>
      <c r="C16" s="27"/>
      <c r="D16" s="49" t="s">
        <v>61</v>
      </c>
      <c r="E16" s="49"/>
      <c r="F16" s="50"/>
      <c r="G16" s="28">
        <v>3400</v>
      </c>
      <c r="H16" s="3">
        <v>1</v>
      </c>
      <c r="I16" s="6">
        <f t="shared" si="5"/>
        <v>3400</v>
      </c>
      <c r="J16" s="8">
        <v>7</v>
      </c>
      <c r="K16" s="6">
        <f t="shared" si="4"/>
        <v>485.71428571428572</v>
      </c>
      <c r="L16" s="58" t="s">
        <v>24</v>
      </c>
      <c r="M16" s="58" t="s">
        <v>24</v>
      </c>
      <c r="N16" s="58" t="s">
        <v>24</v>
      </c>
      <c r="O16" s="58" t="s">
        <v>24</v>
      </c>
      <c r="Q16" s="4"/>
    </row>
    <row r="17" spans="2:17" x14ac:dyDescent="0.3">
      <c r="B17" s="91" t="s">
        <v>190</v>
      </c>
      <c r="C17" s="70" t="s">
        <v>62</v>
      </c>
      <c r="D17" s="70"/>
      <c r="E17" s="70"/>
      <c r="F17" s="70"/>
      <c r="G17" s="71">
        <v>48960</v>
      </c>
      <c r="H17" s="72">
        <v>1</v>
      </c>
      <c r="I17" s="73">
        <f>G17*H17</f>
        <v>48960</v>
      </c>
      <c r="J17" s="74">
        <v>3</v>
      </c>
      <c r="K17" s="92">
        <f t="shared" si="4"/>
        <v>16320</v>
      </c>
      <c r="L17" s="70" t="s">
        <v>17</v>
      </c>
      <c r="M17" s="70" t="s">
        <v>17</v>
      </c>
      <c r="N17" s="70" t="s">
        <v>17</v>
      </c>
      <c r="O17" s="70" t="s">
        <v>17</v>
      </c>
      <c r="Q17" s="4"/>
    </row>
    <row r="18" spans="2:17" x14ac:dyDescent="0.3">
      <c r="B18" s="91" t="s">
        <v>191</v>
      </c>
      <c r="C18" s="70" t="s">
        <v>63</v>
      </c>
      <c r="D18" s="70"/>
      <c r="E18" s="70"/>
      <c r="F18" s="70"/>
      <c r="G18" s="71">
        <v>2169</v>
      </c>
      <c r="H18" s="72">
        <v>6</v>
      </c>
      <c r="I18" s="92">
        <f t="shared" si="3"/>
        <v>13014</v>
      </c>
      <c r="J18" s="74">
        <v>10</v>
      </c>
      <c r="K18" s="92">
        <f t="shared" si="4"/>
        <v>1301.4000000000001</v>
      </c>
      <c r="L18" s="70" t="s">
        <v>3</v>
      </c>
      <c r="M18" s="70" t="s">
        <v>3</v>
      </c>
      <c r="N18" s="70" t="s">
        <v>3</v>
      </c>
      <c r="O18" s="70" t="s">
        <v>3</v>
      </c>
      <c r="Q18" s="4"/>
    </row>
    <row r="19" spans="2:17" x14ac:dyDescent="0.3">
      <c r="B19" s="91" t="s">
        <v>192</v>
      </c>
      <c r="C19" s="70" t="s">
        <v>64</v>
      </c>
      <c r="D19" s="70"/>
      <c r="E19" s="70"/>
      <c r="F19" s="70"/>
      <c r="G19" s="71">
        <v>23999</v>
      </c>
      <c r="H19" s="72">
        <v>1</v>
      </c>
      <c r="I19" s="92">
        <f t="shared" si="3"/>
        <v>23999</v>
      </c>
      <c r="J19" s="74">
        <v>7</v>
      </c>
      <c r="K19" s="92">
        <f t="shared" si="4"/>
        <v>3428.4285714285716</v>
      </c>
      <c r="L19" s="70" t="s">
        <v>0</v>
      </c>
      <c r="M19" s="70" t="s">
        <v>0</v>
      </c>
      <c r="N19" s="70" t="s">
        <v>0</v>
      </c>
      <c r="O19" s="70" t="s">
        <v>0</v>
      </c>
      <c r="Q19" s="4"/>
    </row>
    <row r="20" spans="2:17" x14ac:dyDescent="0.3">
      <c r="B20" s="91" t="s">
        <v>193</v>
      </c>
      <c r="C20" s="70" t="s">
        <v>65</v>
      </c>
      <c r="D20" s="70"/>
      <c r="E20" s="70"/>
      <c r="F20" s="70"/>
      <c r="G20" s="71">
        <v>1799</v>
      </c>
      <c r="H20" s="72">
        <v>15</v>
      </c>
      <c r="I20" s="92">
        <f t="shared" si="3"/>
        <v>26985</v>
      </c>
      <c r="J20" s="74">
        <v>15</v>
      </c>
      <c r="K20" s="92">
        <f t="shared" si="4"/>
        <v>1799</v>
      </c>
      <c r="L20" s="70" t="s">
        <v>4</v>
      </c>
      <c r="M20" s="70" t="s">
        <v>4</v>
      </c>
      <c r="N20" s="70" t="s">
        <v>4</v>
      </c>
      <c r="O20" s="70" t="s">
        <v>4</v>
      </c>
      <c r="Q20" s="4"/>
    </row>
    <row r="21" spans="2:17" x14ac:dyDescent="0.3">
      <c r="B21" s="91" t="s">
        <v>194</v>
      </c>
      <c r="C21" s="70" t="s">
        <v>66</v>
      </c>
      <c r="D21" s="70"/>
      <c r="E21" s="70"/>
      <c r="F21" s="70"/>
      <c r="G21" s="71">
        <v>97.5</v>
      </c>
      <c r="H21" s="72">
        <v>70</v>
      </c>
      <c r="I21" s="92">
        <f t="shared" si="3"/>
        <v>6825</v>
      </c>
      <c r="J21" s="74">
        <v>5</v>
      </c>
      <c r="K21" s="92">
        <f t="shared" si="4"/>
        <v>1365</v>
      </c>
      <c r="L21" s="70" t="s">
        <v>23</v>
      </c>
      <c r="M21" s="70" t="s">
        <v>23</v>
      </c>
      <c r="N21" s="70" t="s">
        <v>23</v>
      </c>
      <c r="O21" s="70" t="s">
        <v>23</v>
      </c>
      <c r="Q21" s="4"/>
    </row>
    <row r="22" spans="2:17" x14ac:dyDescent="0.3">
      <c r="B22" s="91" t="s">
        <v>195</v>
      </c>
      <c r="C22" s="70" t="s">
        <v>67</v>
      </c>
      <c r="D22" s="70"/>
      <c r="E22" s="70"/>
      <c r="F22" s="70"/>
      <c r="G22" s="71">
        <v>3550</v>
      </c>
      <c r="H22" s="72">
        <v>1</v>
      </c>
      <c r="I22" s="92">
        <f>G22*H22</f>
        <v>3550</v>
      </c>
      <c r="J22" s="74">
        <v>15</v>
      </c>
      <c r="K22" s="92">
        <f t="shared" si="4"/>
        <v>236.66666666666666</v>
      </c>
      <c r="L22" s="70" t="s">
        <v>5</v>
      </c>
      <c r="M22" s="70" t="s">
        <v>5</v>
      </c>
      <c r="N22" s="70" t="s">
        <v>5</v>
      </c>
      <c r="O22" s="70" t="s">
        <v>5</v>
      </c>
      <c r="Q22" s="4"/>
    </row>
    <row r="23" spans="2:17" x14ac:dyDescent="0.3">
      <c r="B23" s="91" t="s">
        <v>196</v>
      </c>
      <c r="C23" s="70" t="s">
        <v>68</v>
      </c>
      <c r="D23" s="70"/>
      <c r="E23" s="70"/>
      <c r="F23" s="70"/>
      <c r="G23" s="71">
        <v>1093.4000000000001</v>
      </c>
      <c r="H23" s="72">
        <v>5</v>
      </c>
      <c r="I23" s="92">
        <f t="shared" si="3"/>
        <v>5467</v>
      </c>
      <c r="J23" s="74">
        <v>5</v>
      </c>
      <c r="K23" s="92">
        <f t="shared" si="4"/>
        <v>1093.4000000000001</v>
      </c>
      <c r="L23" s="70" t="s">
        <v>1</v>
      </c>
      <c r="M23" s="70" t="s">
        <v>1</v>
      </c>
      <c r="N23" s="70" t="s">
        <v>1</v>
      </c>
      <c r="O23" s="70" t="s">
        <v>1</v>
      </c>
      <c r="Q23" s="4"/>
    </row>
    <row r="24" spans="2:17" x14ac:dyDescent="0.3">
      <c r="B24" s="91" t="s">
        <v>197</v>
      </c>
      <c r="C24" s="88" t="s">
        <v>69</v>
      </c>
      <c r="D24" s="89"/>
      <c r="E24" s="89"/>
      <c r="F24" s="89"/>
      <c r="G24" s="89"/>
      <c r="H24" s="89"/>
      <c r="I24" s="89"/>
      <c r="J24" s="89"/>
      <c r="K24" s="90"/>
      <c r="L24" s="70"/>
      <c r="M24" s="70"/>
      <c r="N24" s="70"/>
      <c r="O24" s="70"/>
      <c r="Q24" s="4"/>
    </row>
    <row r="25" spans="2:17" x14ac:dyDescent="0.3">
      <c r="B25" s="40" t="s">
        <v>198</v>
      </c>
      <c r="C25" s="27"/>
      <c r="D25" s="49" t="s">
        <v>70</v>
      </c>
      <c r="E25" s="49"/>
      <c r="F25" s="50"/>
      <c r="G25" s="28">
        <v>5000</v>
      </c>
      <c r="H25" s="3">
        <v>1</v>
      </c>
      <c r="I25" s="6">
        <f t="shared" si="3"/>
        <v>5000</v>
      </c>
      <c r="J25" s="8" t="s">
        <v>18</v>
      </c>
      <c r="K25" s="6">
        <v>0</v>
      </c>
      <c r="L25" s="58" t="s">
        <v>172</v>
      </c>
      <c r="M25" s="58" t="s">
        <v>172</v>
      </c>
      <c r="N25" s="58" t="s">
        <v>172</v>
      </c>
      <c r="O25" s="58" t="s">
        <v>172</v>
      </c>
      <c r="Q25" s="4"/>
    </row>
    <row r="26" spans="2:17" x14ac:dyDescent="0.3">
      <c r="B26" s="40" t="s">
        <v>199</v>
      </c>
      <c r="C26" s="27"/>
      <c r="D26" s="49" t="s">
        <v>71</v>
      </c>
      <c r="E26" s="49"/>
      <c r="F26" s="50"/>
      <c r="G26" s="28">
        <v>4000</v>
      </c>
      <c r="H26" s="3">
        <v>1</v>
      </c>
      <c r="I26" s="6">
        <f t="shared" si="3"/>
        <v>4000</v>
      </c>
      <c r="J26" s="8" t="s">
        <v>18</v>
      </c>
      <c r="K26" s="6">
        <v>0</v>
      </c>
      <c r="L26" s="58" t="s">
        <v>172</v>
      </c>
      <c r="M26" s="58" t="s">
        <v>172</v>
      </c>
      <c r="N26" s="58" t="s">
        <v>172</v>
      </c>
      <c r="O26" s="58" t="s">
        <v>172</v>
      </c>
      <c r="Q26" s="4"/>
    </row>
    <row r="27" spans="2:17" x14ac:dyDescent="0.3">
      <c r="B27" s="40" t="s">
        <v>200</v>
      </c>
      <c r="C27" s="27"/>
      <c r="D27" s="49" t="s">
        <v>72</v>
      </c>
      <c r="E27" s="49"/>
      <c r="F27" s="50"/>
      <c r="G27" s="28">
        <v>1000</v>
      </c>
      <c r="H27" s="3">
        <v>1</v>
      </c>
      <c r="I27" s="6">
        <f t="shared" si="3"/>
        <v>1000</v>
      </c>
      <c r="J27" s="8" t="s">
        <v>18</v>
      </c>
      <c r="K27" s="6">
        <v>0</v>
      </c>
      <c r="L27" s="58" t="s">
        <v>172</v>
      </c>
      <c r="M27" s="58" t="s">
        <v>172</v>
      </c>
      <c r="N27" s="58" t="s">
        <v>172</v>
      </c>
      <c r="O27" s="58" t="s">
        <v>172</v>
      </c>
      <c r="Q27" s="4"/>
    </row>
    <row r="28" spans="2:17" x14ac:dyDescent="0.3">
      <c r="B28" s="40" t="s">
        <v>201</v>
      </c>
      <c r="C28" s="27"/>
      <c r="D28" s="49" t="s">
        <v>73</v>
      </c>
      <c r="E28" s="49"/>
      <c r="F28" s="50"/>
      <c r="G28" s="28">
        <v>1000</v>
      </c>
      <c r="H28" s="3">
        <v>1</v>
      </c>
      <c r="I28" s="6">
        <f t="shared" si="3"/>
        <v>1000</v>
      </c>
      <c r="J28" s="8" t="s">
        <v>18</v>
      </c>
      <c r="K28" s="6">
        <v>0</v>
      </c>
      <c r="L28" s="58" t="s">
        <v>172</v>
      </c>
      <c r="M28" s="58" t="s">
        <v>172</v>
      </c>
      <c r="N28" s="58" t="s">
        <v>172</v>
      </c>
      <c r="O28" s="58" t="s">
        <v>172</v>
      </c>
      <c r="Q28" s="4"/>
    </row>
    <row r="29" spans="2:17" x14ac:dyDescent="0.3">
      <c r="B29" s="40" t="s">
        <v>202</v>
      </c>
      <c r="C29" s="27"/>
      <c r="D29" s="49" t="s">
        <v>74</v>
      </c>
      <c r="E29" s="49"/>
      <c r="F29" s="50"/>
      <c r="G29" s="28">
        <v>2000</v>
      </c>
      <c r="H29" s="3">
        <v>1</v>
      </c>
      <c r="I29" s="6">
        <f t="shared" si="3"/>
        <v>2000</v>
      </c>
      <c r="J29" s="8" t="s">
        <v>18</v>
      </c>
      <c r="K29" s="6">
        <v>0</v>
      </c>
      <c r="L29" s="58" t="s">
        <v>172</v>
      </c>
      <c r="M29" s="58" t="s">
        <v>172</v>
      </c>
      <c r="N29" s="58" t="s">
        <v>172</v>
      </c>
      <c r="O29" s="58" t="s">
        <v>172</v>
      </c>
      <c r="Q29" s="4"/>
    </row>
    <row r="30" spans="2:17" x14ac:dyDescent="0.3">
      <c r="B30" s="40" t="s">
        <v>203</v>
      </c>
      <c r="C30" s="27"/>
      <c r="D30" s="49" t="s">
        <v>75</v>
      </c>
      <c r="E30" s="49"/>
      <c r="F30" s="50"/>
      <c r="G30" s="28">
        <v>5000</v>
      </c>
      <c r="H30" s="3">
        <v>1</v>
      </c>
      <c r="I30" s="6">
        <f t="shared" si="3"/>
        <v>5000</v>
      </c>
      <c r="J30" s="8" t="s">
        <v>18</v>
      </c>
      <c r="K30" s="6">
        <v>0</v>
      </c>
      <c r="L30" s="58" t="s">
        <v>172</v>
      </c>
      <c r="M30" s="58" t="s">
        <v>172</v>
      </c>
      <c r="N30" s="58" t="s">
        <v>172</v>
      </c>
      <c r="O30" s="58" t="s">
        <v>172</v>
      </c>
      <c r="Q30" s="4"/>
    </row>
    <row r="31" spans="2:17" x14ac:dyDescent="0.3">
      <c r="B31" s="91" t="s">
        <v>204</v>
      </c>
      <c r="C31" s="88" t="s">
        <v>77</v>
      </c>
      <c r="D31" s="89"/>
      <c r="E31" s="89"/>
      <c r="F31" s="89"/>
      <c r="G31" s="89"/>
      <c r="H31" s="89"/>
      <c r="I31" s="89"/>
      <c r="J31" s="89"/>
      <c r="K31" s="90"/>
      <c r="L31" s="70"/>
      <c r="M31" s="70"/>
      <c r="N31" s="70"/>
      <c r="O31" s="70"/>
      <c r="Q31" s="4"/>
    </row>
    <row r="32" spans="2:17" x14ac:dyDescent="0.3">
      <c r="B32" s="40" t="s">
        <v>205</v>
      </c>
      <c r="C32" s="27"/>
      <c r="D32" s="49" t="s">
        <v>76</v>
      </c>
      <c r="E32" s="49"/>
      <c r="F32" s="50"/>
      <c r="G32" s="28">
        <v>300</v>
      </c>
      <c r="H32" s="3">
        <v>1</v>
      </c>
      <c r="I32" s="6">
        <f t="shared" si="3"/>
        <v>300</v>
      </c>
      <c r="J32" s="8" t="s">
        <v>18</v>
      </c>
      <c r="K32" s="6">
        <v>0</v>
      </c>
      <c r="L32" s="58" t="s">
        <v>172</v>
      </c>
      <c r="M32" s="58" t="s">
        <v>172</v>
      </c>
      <c r="N32" s="58" t="s">
        <v>172</v>
      </c>
      <c r="O32" s="58" t="s">
        <v>172</v>
      </c>
      <c r="Q32" s="4"/>
    </row>
    <row r="33" spans="2:17" x14ac:dyDescent="0.3">
      <c r="B33" s="40" t="s">
        <v>206</v>
      </c>
      <c r="C33" s="27"/>
      <c r="D33" s="49" t="s">
        <v>78</v>
      </c>
      <c r="E33" s="49"/>
      <c r="F33" s="50"/>
      <c r="G33" s="28">
        <v>3000</v>
      </c>
      <c r="H33" s="3">
        <v>1</v>
      </c>
      <c r="I33" s="6">
        <f t="shared" si="3"/>
        <v>3000</v>
      </c>
      <c r="J33" s="8" t="s">
        <v>18</v>
      </c>
      <c r="K33" s="6">
        <v>0</v>
      </c>
      <c r="L33" s="58" t="s">
        <v>172</v>
      </c>
      <c r="M33" s="58" t="s">
        <v>172</v>
      </c>
      <c r="N33" s="58" t="s">
        <v>172</v>
      </c>
      <c r="O33" s="58" t="s">
        <v>172</v>
      </c>
      <c r="Q33" s="4"/>
    </row>
    <row r="34" spans="2:17" x14ac:dyDescent="0.3">
      <c r="B34" s="40" t="s">
        <v>207</v>
      </c>
      <c r="C34" s="27"/>
      <c r="D34" s="49" t="s">
        <v>79</v>
      </c>
      <c r="E34" s="49"/>
      <c r="F34" s="50"/>
      <c r="G34" s="28">
        <v>5000</v>
      </c>
      <c r="H34" s="3">
        <v>1</v>
      </c>
      <c r="I34" s="6">
        <f t="shared" si="3"/>
        <v>5000</v>
      </c>
      <c r="J34" s="8" t="s">
        <v>18</v>
      </c>
      <c r="K34" s="6">
        <v>0</v>
      </c>
      <c r="L34" s="58" t="s">
        <v>172</v>
      </c>
      <c r="M34" s="58" t="s">
        <v>172</v>
      </c>
      <c r="N34" s="58" t="s">
        <v>172</v>
      </c>
      <c r="O34" s="58" t="s">
        <v>172</v>
      </c>
      <c r="Q34" s="4"/>
    </row>
    <row r="35" spans="2:17" x14ac:dyDescent="0.3">
      <c r="B35" s="40" t="s">
        <v>208</v>
      </c>
      <c r="C35" s="27"/>
      <c r="D35" s="49" t="s">
        <v>80</v>
      </c>
      <c r="E35" s="49"/>
      <c r="F35" s="50"/>
      <c r="G35" s="28">
        <v>2000</v>
      </c>
      <c r="H35" s="3">
        <v>1</v>
      </c>
      <c r="I35" s="6">
        <f t="shared" si="3"/>
        <v>2000</v>
      </c>
      <c r="J35" s="8" t="s">
        <v>18</v>
      </c>
      <c r="K35" s="6">
        <v>0</v>
      </c>
      <c r="L35" s="58" t="s">
        <v>172</v>
      </c>
      <c r="M35" s="58" t="s">
        <v>172</v>
      </c>
      <c r="N35" s="58" t="s">
        <v>172</v>
      </c>
      <c r="O35" s="58" t="s">
        <v>172</v>
      </c>
      <c r="Q35" s="4"/>
    </row>
    <row r="36" spans="2:17" x14ac:dyDescent="0.3">
      <c r="B36" s="91" t="s">
        <v>209</v>
      </c>
      <c r="C36" s="88" t="s">
        <v>81</v>
      </c>
      <c r="D36" s="89"/>
      <c r="E36" s="89"/>
      <c r="F36" s="89"/>
      <c r="G36" s="89"/>
      <c r="H36" s="89"/>
      <c r="I36" s="89"/>
      <c r="J36" s="89"/>
      <c r="K36" s="90"/>
      <c r="L36" s="70"/>
      <c r="M36" s="70"/>
      <c r="N36" s="70"/>
      <c r="O36" s="70"/>
      <c r="Q36" s="4"/>
    </row>
    <row r="37" spans="2:17" x14ac:dyDescent="0.3">
      <c r="B37" s="40" t="s">
        <v>210</v>
      </c>
      <c r="C37" s="27"/>
      <c r="D37" s="49" t="s">
        <v>82</v>
      </c>
      <c r="E37" s="49"/>
      <c r="F37" s="50"/>
      <c r="G37" s="2">
        <v>15000</v>
      </c>
      <c r="H37" s="3">
        <v>1</v>
      </c>
      <c r="I37" s="29">
        <f t="shared" si="3"/>
        <v>15000</v>
      </c>
      <c r="J37" s="8" t="s">
        <v>18</v>
      </c>
      <c r="K37" s="6">
        <v>0</v>
      </c>
      <c r="L37" s="58" t="s">
        <v>173</v>
      </c>
      <c r="M37" s="58" t="s">
        <v>173</v>
      </c>
      <c r="N37" s="58" t="s">
        <v>173</v>
      </c>
      <c r="O37" s="58" t="s">
        <v>173</v>
      </c>
      <c r="Q37" s="4"/>
    </row>
    <row r="38" spans="2:17" x14ac:dyDescent="0.3">
      <c r="B38" s="40" t="s">
        <v>211</v>
      </c>
      <c r="C38" s="27"/>
      <c r="D38" s="49" t="s">
        <v>83</v>
      </c>
      <c r="E38" s="49"/>
      <c r="F38" s="50"/>
      <c r="G38" s="2">
        <v>450</v>
      </c>
      <c r="H38" s="3">
        <v>1</v>
      </c>
      <c r="I38" s="29">
        <f>G38*H38</f>
        <v>450</v>
      </c>
      <c r="J38" s="8">
        <v>1</v>
      </c>
      <c r="K38" s="6">
        <f t="shared" si="4"/>
        <v>450</v>
      </c>
      <c r="L38" s="58" t="s">
        <v>173</v>
      </c>
      <c r="M38" s="58" t="s">
        <v>173</v>
      </c>
      <c r="N38" s="58" t="s">
        <v>173</v>
      </c>
      <c r="O38" s="58" t="s">
        <v>173</v>
      </c>
      <c r="Q38" s="4"/>
    </row>
    <row r="39" spans="2:17" x14ac:dyDescent="0.3">
      <c r="B39" s="40" t="s">
        <v>212</v>
      </c>
      <c r="C39" s="27"/>
      <c r="D39" s="49" t="s">
        <v>25</v>
      </c>
      <c r="E39" s="49"/>
      <c r="F39" s="50"/>
      <c r="G39" s="2">
        <v>1000</v>
      </c>
      <c r="H39" s="3">
        <v>1</v>
      </c>
      <c r="I39" s="29">
        <f>G39*H39</f>
        <v>1000</v>
      </c>
      <c r="J39" s="8">
        <v>1</v>
      </c>
      <c r="K39" s="6">
        <f t="shared" si="4"/>
        <v>1000</v>
      </c>
      <c r="L39" s="58" t="s">
        <v>173</v>
      </c>
      <c r="M39" s="58" t="s">
        <v>173</v>
      </c>
      <c r="N39" s="58" t="s">
        <v>173</v>
      </c>
      <c r="O39" s="58" t="s">
        <v>173</v>
      </c>
      <c r="Q39" s="4"/>
    </row>
    <row r="40" spans="2:17" x14ac:dyDescent="0.3">
      <c r="B40" s="40" t="s">
        <v>213</v>
      </c>
      <c r="C40" s="27"/>
      <c r="D40" s="49" t="s">
        <v>84</v>
      </c>
      <c r="E40" s="49"/>
      <c r="F40" s="50"/>
      <c r="G40" s="28">
        <v>3000</v>
      </c>
      <c r="H40" s="3">
        <v>1</v>
      </c>
      <c r="I40" s="6">
        <f>G40*H40</f>
        <v>3000</v>
      </c>
      <c r="J40" s="8" t="s">
        <v>18</v>
      </c>
      <c r="K40" s="6">
        <v>0</v>
      </c>
      <c r="L40" s="58" t="s">
        <v>173</v>
      </c>
      <c r="M40" s="58" t="s">
        <v>173</v>
      </c>
      <c r="N40" s="58" t="s">
        <v>173</v>
      </c>
      <c r="O40" s="58" t="s">
        <v>173</v>
      </c>
      <c r="Q40" s="4"/>
    </row>
    <row r="41" spans="2:17" s="1" customFormat="1" x14ac:dyDescent="0.3">
      <c r="B41" s="39"/>
      <c r="C41" s="32"/>
      <c r="D41" s="32"/>
      <c r="E41" s="32"/>
      <c r="F41" s="32"/>
      <c r="G41" s="7"/>
      <c r="H41" s="33"/>
      <c r="I41" s="7"/>
      <c r="J41" s="9"/>
      <c r="K41" s="7"/>
      <c r="L41" s="59"/>
      <c r="M41" s="59"/>
      <c r="N41" s="59"/>
      <c r="O41" s="59"/>
      <c r="Q41" s="19"/>
    </row>
    <row r="42" spans="2:17" x14ac:dyDescent="0.3">
      <c r="B42" s="91" t="s">
        <v>214</v>
      </c>
      <c r="C42" s="93" t="s">
        <v>85</v>
      </c>
      <c r="D42" s="93"/>
      <c r="E42" s="93"/>
      <c r="F42" s="93"/>
      <c r="G42" s="93"/>
      <c r="H42" s="93"/>
      <c r="I42" s="93"/>
      <c r="J42" s="93"/>
      <c r="K42" s="93"/>
      <c r="L42" s="70"/>
      <c r="M42" s="70"/>
      <c r="N42" s="70"/>
      <c r="O42" s="70"/>
      <c r="Q42" s="4"/>
    </row>
    <row r="43" spans="2:17" x14ac:dyDescent="0.3">
      <c r="B43" s="40" t="s">
        <v>215</v>
      </c>
      <c r="C43" s="27"/>
      <c r="D43" s="49" t="s">
        <v>86</v>
      </c>
      <c r="E43" s="49"/>
      <c r="F43" s="50"/>
      <c r="G43" s="28">
        <v>2000</v>
      </c>
      <c r="H43" s="3">
        <v>1</v>
      </c>
      <c r="I43" s="6">
        <f>G43*H43</f>
        <v>2000</v>
      </c>
      <c r="J43" s="8" t="s">
        <v>18</v>
      </c>
      <c r="K43" s="6">
        <v>0</v>
      </c>
      <c r="L43" s="58" t="s">
        <v>173</v>
      </c>
      <c r="M43" s="58" t="s">
        <v>173</v>
      </c>
      <c r="N43" s="58" t="s">
        <v>173</v>
      </c>
      <c r="O43" s="58" t="s">
        <v>173</v>
      </c>
      <c r="Q43" s="4"/>
    </row>
    <row r="44" spans="2:17" x14ac:dyDescent="0.3">
      <c r="B44" s="40" t="s">
        <v>216</v>
      </c>
      <c r="C44" s="27"/>
      <c r="D44" s="49" t="s">
        <v>87</v>
      </c>
      <c r="E44" s="49"/>
      <c r="F44" s="50"/>
      <c r="G44" s="28">
        <v>10000</v>
      </c>
      <c r="H44" s="3">
        <v>1</v>
      </c>
      <c r="I44" s="6">
        <f t="shared" ref="I44:I48" si="6">G44*H44</f>
        <v>10000</v>
      </c>
      <c r="J44" s="8">
        <v>1</v>
      </c>
      <c r="K44" s="6">
        <f t="shared" si="4"/>
        <v>10000</v>
      </c>
      <c r="L44" s="58" t="s">
        <v>177</v>
      </c>
      <c r="M44" s="58" t="s">
        <v>177</v>
      </c>
      <c r="N44" s="58" t="s">
        <v>177</v>
      </c>
      <c r="O44" s="58" t="s">
        <v>177</v>
      </c>
      <c r="Q44" s="4"/>
    </row>
    <row r="45" spans="2:17" x14ac:dyDescent="0.3">
      <c r="B45" s="40" t="s">
        <v>217</v>
      </c>
      <c r="C45" s="27"/>
      <c r="D45" s="49" t="s">
        <v>88</v>
      </c>
      <c r="E45" s="49"/>
      <c r="F45" s="50"/>
      <c r="G45" s="28">
        <v>3000</v>
      </c>
      <c r="H45" s="3">
        <v>10</v>
      </c>
      <c r="I45" s="6">
        <f t="shared" si="6"/>
        <v>30000</v>
      </c>
      <c r="J45" s="8">
        <v>1</v>
      </c>
      <c r="K45" s="6">
        <f t="shared" si="4"/>
        <v>30000</v>
      </c>
      <c r="L45" s="58" t="s">
        <v>174</v>
      </c>
      <c r="M45" s="58" t="s">
        <v>174</v>
      </c>
      <c r="N45" s="58" t="s">
        <v>174</v>
      </c>
      <c r="O45" s="58" t="s">
        <v>174</v>
      </c>
      <c r="Q45" s="4"/>
    </row>
    <row r="46" spans="2:17" x14ac:dyDescent="0.3">
      <c r="B46" s="40" t="s">
        <v>218</v>
      </c>
      <c r="C46" s="27"/>
      <c r="D46" s="49" t="s">
        <v>89</v>
      </c>
      <c r="E46" s="49"/>
      <c r="F46" s="50"/>
      <c r="G46" s="28">
        <v>0.7</v>
      </c>
      <c r="H46" s="3">
        <v>2000</v>
      </c>
      <c r="I46" s="6">
        <f t="shared" si="6"/>
        <v>1400</v>
      </c>
      <c r="J46" s="8">
        <v>1</v>
      </c>
      <c r="K46" s="6">
        <f t="shared" si="4"/>
        <v>1400</v>
      </c>
      <c r="L46" s="58" t="s">
        <v>175</v>
      </c>
      <c r="M46" s="58" t="s">
        <v>175</v>
      </c>
      <c r="N46" s="58" t="s">
        <v>175</v>
      </c>
      <c r="O46" s="58" t="s">
        <v>175</v>
      </c>
      <c r="Q46" s="4"/>
    </row>
    <row r="47" spans="2:17" x14ac:dyDescent="0.3">
      <c r="B47" s="40" t="s">
        <v>219</v>
      </c>
      <c r="C47" s="27"/>
      <c r="D47" s="49" t="s">
        <v>90</v>
      </c>
      <c r="E47" s="49"/>
      <c r="F47" s="50"/>
      <c r="G47" s="28">
        <v>0.8</v>
      </c>
      <c r="H47" s="3">
        <v>2500</v>
      </c>
      <c r="I47" s="6">
        <f t="shared" si="6"/>
        <v>2000</v>
      </c>
      <c r="J47" s="8">
        <v>1</v>
      </c>
      <c r="K47" s="6">
        <v>0</v>
      </c>
      <c r="L47" s="58" t="s">
        <v>175</v>
      </c>
      <c r="M47" s="58" t="s">
        <v>175</v>
      </c>
      <c r="N47" s="58" t="s">
        <v>175</v>
      </c>
      <c r="O47" s="58" t="s">
        <v>175</v>
      </c>
      <c r="Q47" s="4"/>
    </row>
    <row r="48" spans="2:17" x14ac:dyDescent="0.3">
      <c r="B48" s="40" t="s">
        <v>220</v>
      </c>
      <c r="C48" s="27"/>
      <c r="D48" s="49" t="s">
        <v>91</v>
      </c>
      <c r="E48" s="49"/>
      <c r="F48" s="50"/>
      <c r="G48" s="28">
        <v>2.4</v>
      </c>
      <c r="H48" s="3">
        <v>500</v>
      </c>
      <c r="I48" s="6">
        <f t="shared" si="6"/>
        <v>1200</v>
      </c>
      <c r="J48" s="8">
        <v>1</v>
      </c>
      <c r="K48" s="6">
        <f t="shared" si="4"/>
        <v>1200</v>
      </c>
      <c r="L48" s="58" t="s">
        <v>176</v>
      </c>
      <c r="M48" s="58" t="s">
        <v>176</v>
      </c>
      <c r="N48" s="58" t="s">
        <v>176</v>
      </c>
      <c r="O48" s="58" t="s">
        <v>176</v>
      </c>
      <c r="Q48" s="4"/>
    </row>
    <row r="49" spans="2:17" x14ac:dyDescent="0.3">
      <c r="B49" s="91" t="s">
        <v>221</v>
      </c>
      <c r="C49" s="70" t="s">
        <v>170</v>
      </c>
      <c r="D49" s="70"/>
      <c r="E49" s="70"/>
      <c r="F49" s="70"/>
      <c r="G49" s="71">
        <v>1000</v>
      </c>
      <c r="H49" s="72">
        <v>7</v>
      </c>
      <c r="I49" s="92">
        <f t="shared" si="3"/>
        <v>7000</v>
      </c>
      <c r="J49" s="74">
        <v>1</v>
      </c>
      <c r="K49" s="92">
        <v>0</v>
      </c>
      <c r="L49" s="70" t="s">
        <v>171</v>
      </c>
      <c r="M49" s="70" t="s">
        <v>171</v>
      </c>
      <c r="N49" s="70" t="s">
        <v>171</v>
      </c>
      <c r="O49" s="70" t="s">
        <v>171</v>
      </c>
      <c r="Q49" s="4"/>
    </row>
    <row r="50" spans="2:17" x14ac:dyDescent="0.3">
      <c r="B50" s="91" t="s">
        <v>222</v>
      </c>
      <c r="C50" s="88" t="s">
        <v>92</v>
      </c>
      <c r="D50" s="89"/>
      <c r="E50" s="89"/>
      <c r="F50" s="89"/>
      <c r="G50" s="89"/>
      <c r="H50" s="89"/>
      <c r="I50" s="89"/>
      <c r="J50" s="89"/>
      <c r="K50" s="90"/>
      <c r="L50" s="70"/>
      <c r="M50" s="70"/>
      <c r="N50" s="70"/>
      <c r="O50" s="70"/>
      <c r="Q50" s="4"/>
    </row>
    <row r="51" spans="2:17" x14ac:dyDescent="0.3">
      <c r="B51" s="40" t="s">
        <v>223</v>
      </c>
      <c r="C51" s="27"/>
      <c r="D51" s="49" t="s">
        <v>93</v>
      </c>
      <c r="E51" s="49"/>
      <c r="F51" s="50"/>
      <c r="G51" s="28">
        <v>485.1</v>
      </c>
      <c r="H51" s="3">
        <v>3</v>
      </c>
      <c r="I51" s="6">
        <f>G51*H51</f>
        <v>1455.3000000000002</v>
      </c>
      <c r="J51" s="8">
        <v>8</v>
      </c>
      <c r="K51" s="6">
        <f t="shared" si="4"/>
        <v>181.91250000000002</v>
      </c>
      <c r="L51" s="58" t="s">
        <v>8</v>
      </c>
      <c r="M51" s="58" t="s">
        <v>8</v>
      </c>
      <c r="N51" s="58" t="s">
        <v>8</v>
      </c>
      <c r="O51" s="58" t="s">
        <v>8</v>
      </c>
      <c r="Q51" s="4"/>
    </row>
    <row r="52" spans="2:17" x14ac:dyDescent="0.3">
      <c r="B52" s="40" t="s">
        <v>224</v>
      </c>
      <c r="C52" s="27"/>
      <c r="D52" s="49" t="s">
        <v>94</v>
      </c>
      <c r="E52" s="49"/>
      <c r="F52" s="50"/>
      <c r="G52" s="28">
        <v>459</v>
      </c>
      <c r="H52" s="3">
        <v>3</v>
      </c>
      <c r="I52" s="6">
        <f t="shared" ref="I52:I55" si="7">G52*H52</f>
        <v>1377</v>
      </c>
      <c r="J52" s="8">
        <v>8</v>
      </c>
      <c r="K52" s="6">
        <f t="shared" si="4"/>
        <v>172.125</v>
      </c>
      <c r="L52" s="58" t="s">
        <v>7</v>
      </c>
      <c r="M52" s="58" t="s">
        <v>7</v>
      </c>
      <c r="N52" s="58" t="s">
        <v>7</v>
      </c>
      <c r="O52" s="58" t="s">
        <v>7</v>
      </c>
      <c r="Q52" s="4"/>
    </row>
    <row r="53" spans="2:17" x14ac:dyDescent="0.3">
      <c r="B53" s="40" t="s">
        <v>225</v>
      </c>
      <c r="C53" s="27"/>
      <c r="D53" s="49" t="s">
        <v>95</v>
      </c>
      <c r="E53" s="49"/>
      <c r="F53" s="50"/>
      <c r="G53" s="28">
        <v>334.9</v>
      </c>
      <c r="H53" s="3">
        <v>3</v>
      </c>
      <c r="I53" s="6">
        <f t="shared" si="7"/>
        <v>1004.6999999999999</v>
      </c>
      <c r="J53" s="8">
        <v>8</v>
      </c>
      <c r="K53" s="6">
        <f t="shared" si="4"/>
        <v>125.58749999999999</v>
      </c>
      <c r="L53" s="58" t="s">
        <v>6</v>
      </c>
      <c r="M53" s="58" t="s">
        <v>6</v>
      </c>
      <c r="N53" s="58" t="s">
        <v>6</v>
      </c>
      <c r="O53" s="58" t="s">
        <v>6</v>
      </c>
      <c r="Q53" s="4"/>
    </row>
    <row r="54" spans="2:17" x14ac:dyDescent="0.3">
      <c r="B54" s="40" t="s">
        <v>226</v>
      </c>
      <c r="C54" s="27"/>
      <c r="D54" s="49" t="s">
        <v>96</v>
      </c>
      <c r="E54" s="49"/>
      <c r="F54" s="50"/>
      <c r="G54" s="28">
        <v>898.99</v>
      </c>
      <c r="H54" s="3">
        <v>3</v>
      </c>
      <c r="I54" s="6">
        <f t="shared" si="7"/>
        <v>2696.9700000000003</v>
      </c>
      <c r="J54" s="8">
        <v>6</v>
      </c>
      <c r="K54" s="6">
        <f t="shared" si="4"/>
        <v>449.49500000000006</v>
      </c>
      <c r="L54" s="58" t="s">
        <v>9</v>
      </c>
      <c r="M54" s="58" t="s">
        <v>9</v>
      </c>
      <c r="N54" s="58" t="s">
        <v>9</v>
      </c>
      <c r="O54" s="58" t="s">
        <v>9</v>
      </c>
      <c r="Q54" s="4"/>
    </row>
    <row r="55" spans="2:17" x14ac:dyDescent="0.3">
      <c r="B55" s="40" t="s">
        <v>227</v>
      </c>
      <c r="C55" s="27"/>
      <c r="D55" s="49" t="s">
        <v>97</v>
      </c>
      <c r="E55" s="49"/>
      <c r="F55" s="50"/>
      <c r="G55" s="28">
        <v>356.99</v>
      </c>
      <c r="H55" s="3">
        <v>3</v>
      </c>
      <c r="I55" s="6">
        <f t="shared" si="7"/>
        <v>1070.97</v>
      </c>
      <c r="J55" s="8">
        <v>3</v>
      </c>
      <c r="K55" s="6">
        <f t="shared" si="4"/>
        <v>356.99</v>
      </c>
      <c r="L55" s="58" t="s">
        <v>11</v>
      </c>
      <c r="M55" s="58" t="s">
        <v>11</v>
      </c>
      <c r="N55" s="58" t="s">
        <v>11</v>
      </c>
      <c r="O55" s="58" t="s">
        <v>11</v>
      </c>
      <c r="Q55" s="4"/>
    </row>
    <row r="56" spans="2:17" x14ac:dyDescent="0.3">
      <c r="B56" s="91" t="s">
        <v>228</v>
      </c>
      <c r="C56" s="88" t="s">
        <v>98</v>
      </c>
      <c r="D56" s="89"/>
      <c r="E56" s="89"/>
      <c r="F56" s="89"/>
      <c r="G56" s="89"/>
      <c r="H56" s="89"/>
      <c r="I56" s="89"/>
      <c r="J56" s="89"/>
      <c r="K56" s="90"/>
      <c r="L56" s="70"/>
      <c r="M56" s="70"/>
      <c r="N56" s="70"/>
      <c r="O56" s="70"/>
      <c r="Q56" s="4"/>
    </row>
    <row r="57" spans="2:17" x14ac:dyDescent="0.3">
      <c r="B57" s="40" t="s">
        <v>229</v>
      </c>
      <c r="C57" s="27"/>
      <c r="D57" s="49" t="s">
        <v>99</v>
      </c>
      <c r="E57" s="49"/>
      <c r="F57" s="50"/>
      <c r="G57" s="28">
        <v>419</v>
      </c>
      <c r="H57" s="3">
        <v>5</v>
      </c>
      <c r="I57" s="6">
        <f>G57*H57</f>
        <v>2095</v>
      </c>
      <c r="J57" s="8">
        <v>5</v>
      </c>
      <c r="K57" s="6">
        <f t="shared" si="4"/>
        <v>419</v>
      </c>
      <c r="L57" s="58" t="s">
        <v>10</v>
      </c>
      <c r="M57" s="58" t="s">
        <v>10</v>
      </c>
      <c r="N57" s="58" t="s">
        <v>10</v>
      </c>
      <c r="O57" s="58" t="s">
        <v>10</v>
      </c>
    </row>
    <row r="58" spans="2:17" x14ac:dyDescent="0.3">
      <c r="B58" s="40" t="s">
        <v>230</v>
      </c>
      <c r="C58" s="27"/>
      <c r="D58" s="49" t="s">
        <v>100</v>
      </c>
      <c r="E58" s="49"/>
      <c r="F58" s="50"/>
      <c r="G58" s="28">
        <v>299</v>
      </c>
      <c r="H58" s="3">
        <v>50</v>
      </c>
      <c r="I58" s="6">
        <f>G58*H58</f>
        <v>14950</v>
      </c>
      <c r="J58" s="8">
        <v>7</v>
      </c>
      <c r="K58" s="6">
        <f t="shared" si="4"/>
        <v>2135.7142857142858</v>
      </c>
      <c r="L58" s="58" t="s">
        <v>12</v>
      </c>
      <c r="M58" s="58" t="s">
        <v>12</v>
      </c>
      <c r="N58" s="58" t="s">
        <v>12</v>
      </c>
      <c r="O58" s="58" t="s">
        <v>12</v>
      </c>
    </row>
    <row r="59" spans="2:17" x14ac:dyDescent="0.3">
      <c r="B59" s="40" t="s">
        <v>231</v>
      </c>
      <c r="C59" s="27"/>
      <c r="D59" s="49" t="s">
        <v>101</v>
      </c>
      <c r="E59" s="49"/>
      <c r="F59" s="50"/>
      <c r="G59" s="28">
        <v>2400</v>
      </c>
      <c r="H59" s="3">
        <v>2</v>
      </c>
      <c r="I59" s="6">
        <f t="shared" ref="I59" si="8">G59*H59</f>
        <v>4800</v>
      </c>
      <c r="J59" s="8">
        <v>7</v>
      </c>
      <c r="K59" s="6">
        <f t="shared" si="4"/>
        <v>685.71428571428567</v>
      </c>
      <c r="L59" s="58" t="s">
        <v>2</v>
      </c>
      <c r="M59" s="58" t="s">
        <v>2</v>
      </c>
      <c r="N59" s="58" t="s">
        <v>2</v>
      </c>
      <c r="O59" s="58" t="s">
        <v>2</v>
      </c>
    </row>
    <row r="60" spans="2:17" x14ac:dyDescent="0.3">
      <c r="B60" s="40" t="s">
        <v>232</v>
      </c>
      <c r="C60" s="27"/>
      <c r="D60" s="49" t="s">
        <v>102</v>
      </c>
      <c r="E60" s="49"/>
      <c r="F60" s="50"/>
      <c r="G60" s="28">
        <v>1970.85</v>
      </c>
      <c r="H60" s="3">
        <v>2</v>
      </c>
      <c r="I60" s="6">
        <f>G60*H60</f>
        <v>3941.7</v>
      </c>
      <c r="J60" s="8">
        <v>15</v>
      </c>
      <c r="K60" s="6">
        <f t="shared" si="4"/>
        <v>262.77999999999997</v>
      </c>
      <c r="L60" s="58" t="s">
        <v>14</v>
      </c>
      <c r="M60" s="58" t="s">
        <v>14</v>
      </c>
      <c r="N60" s="58" t="s">
        <v>14</v>
      </c>
      <c r="O60" s="58" t="s">
        <v>14</v>
      </c>
    </row>
    <row r="61" spans="2:17" x14ac:dyDescent="0.3">
      <c r="B61" s="91" t="s">
        <v>233</v>
      </c>
      <c r="C61" s="88" t="s">
        <v>103</v>
      </c>
      <c r="D61" s="89"/>
      <c r="E61" s="89"/>
      <c r="F61" s="89"/>
      <c r="G61" s="89"/>
      <c r="H61" s="89"/>
      <c r="I61" s="89"/>
      <c r="J61" s="89"/>
      <c r="K61" s="90"/>
      <c r="L61" s="70"/>
      <c r="M61" s="70"/>
      <c r="N61" s="70"/>
      <c r="O61" s="70"/>
    </row>
    <row r="62" spans="2:17" x14ac:dyDescent="0.3">
      <c r="B62" s="40" t="s">
        <v>234</v>
      </c>
      <c r="C62" s="27"/>
      <c r="D62" s="49" t="s">
        <v>104</v>
      </c>
      <c r="E62" s="49"/>
      <c r="F62" s="50"/>
      <c r="G62" s="28">
        <v>149.94999999999999</v>
      </c>
      <c r="H62" s="3">
        <v>6</v>
      </c>
      <c r="I62" s="6">
        <f>G62*H62</f>
        <v>899.69999999999993</v>
      </c>
      <c r="J62" s="30">
        <v>0.5</v>
      </c>
      <c r="K62" s="6">
        <f t="shared" si="4"/>
        <v>1799.3999999999999</v>
      </c>
      <c r="L62" s="58" t="s">
        <v>13</v>
      </c>
      <c r="M62" s="58" t="s">
        <v>13</v>
      </c>
      <c r="N62" s="58" t="s">
        <v>13</v>
      </c>
      <c r="O62" s="58" t="s">
        <v>13</v>
      </c>
    </row>
    <row r="63" spans="2:17" x14ac:dyDescent="0.3">
      <c r="B63" s="91" t="s">
        <v>235</v>
      </c>
      <c r="C63" s="94" t="s">
        <v>113</v>
      </c>
      <c r="D63" s="78"/>
      <c r="E63" s="78"/>
      <c r="F63" s="79"/>
      <c r="G63" s="71"/>
      <c r="H63" s="72"/>
      <c r="I63" s="92"/>
      <c r="J63" s="95"/>
      <c r="K63" s="92"/>
      <c r="L63" s="77"/>
      <c r="M63" s="78"/>
      <c r="N63" s="78"/>
      <c r="O63" s="79"/>
    </row>
    <row r="64" spans="2:17" x14ac:dyDescent="0.3">
      <c r="B64" s="43" t="s">
        <v>236</v>
      </c>
      <c r="C64" s="45"/>
      <c r="D64" s="41" t="s">
        <v>105</v>
      </c>
      <c r="E64" s="41"/>
      <c r="F64" s="42"/>
      <c r="G64" s="31">
        <v>9.9890000000000007E-2</v>
      </c>
      <c r="H64" s="3">
        <v>2000</v>
      </c>
      <c r="I64" s="6">
        <f t="shared" si="3"/>
        <v>199.78</v>
      </c>
      <c r="J64" s="8" t="s">
        <v>18</v>
      </c>
      <c r="K64" s="6">
        <v>0</v>
      </c>
      <c r="L64" s="58" t="s">
        <v>31</v>
      </c>
      <c r="M64" s="58" t="s">
        <v>31</v>
      </c>
      <c r="N64" s="58" t="s">
        <v>31</v>
      </c>
      <c r="O64" s="58" t="s">
        <v>31</v>
      </c>
    </row>
    <row r="65" spans="2:15" x14ac:dyDescent="0.3">
      <c r="B65" s="43" t="s">
        <v>237</v>
      </c>
      <c r="C65" s="45"/>
      <c r="D65" s="41" t="s">
        <v>106</v>
      </c>
      <c r="E65" s="41"/>
      <c r="F65" s="42"/>
      <c r="G65" s="31">
        <v>9.9890000000000007E-2</v>
      </c>
      <c r="H65" s="3">
        <v>5000</v>
      </c>
      <c r="I65" s="6">
        <f t="shared" si="3"/>
        <v>499.45000000000005</v>
      </c>
      <c r="J65" s="8" t="s">
        <v>18</v>
      </c>
      <c r="K65" s="6">
        <v>0</v>
      </c>
      <c r="L65" s="58" t="s">
        <v>27</v>
      </c>
      <c r="M65" s="58" t="s">
        <v>27</v>
      </c>
      <c r="N65" s="58" t="s">
        <v>27</v>
      </c>
      <c r="O65" s="58" t="s">
        <v>27</v>
      </c>
    </row>
    <row r="66" spans="2:15" x14ac:dyDescent="0.3">
      <c r="B66" s="43" t="s">
        <v>238</v>
      </c>
      <c r="C66" s="45"/>
      <c r="D66" s="41" t="s">
        <v>107</v>
      </c>
      <c r="E66" s="41"/>
      <c r="F66" s="42"/>
      <c r="G66" s="31">
        <v>9.9890000000000007E-2</v>
      </c>
      <c r="H66" s="3">
        <v>2000</v>
      </c>
      <c r="I66" s="6">
        <f t="shared" si="3"/>
        <v>199.78</v>
      </c>
      <c r="J66" s="8" t="s">
        <v>18</v>
      </c>
      <c r="K66" s="6">
        <v>0</v>
      </c>
      <c r="L66" s="58" t="s">
        <v>30</v>
      </c>
      <c r="M66" s="58" t="s">
        <v>30</v>
      </c>
      <c r="N66" s="58" t="s">
        <v>30</v>
      </c>
      <c r="O66" s="58" t="s">
        <v>30</v>
      </c>
    </row>
    <row r="67" spans="2:15" x14ac:dyDescent="0.3">
      <c r="B67" s="43" t="s">
        <v>239</v>
      </c>
      <c r="C67" s="45"/>
      <c r="D67" s="41" t="s">
        <v>108</v>
      </c>
      <c r="E67" s="41"/>
      <c r="F67" s="42"/>
      <c r="G67" s="31">
        <v>9.9890000000000007E-2</v>
      </c>
      <c r="H67" s="3">
        <v>2000</v>
      </c>
      <c r="I67" s="6">
        <f t="shared" si="3"/>
        <v>199.78</v>
      </c>
      <c r="J67" s="8" t="s">
        <v>18</v>
      </c>
      <c r="K67" s="6">
        <v>0</v>
      </c>
      <c r="L67" s="58" t="s">
        <v>29</v>
      </c>
      <c r="M67" s="58" t="s">
        <v>29</v>
      </c>
      <c r="N67" s="58" t="s">
        <v>29</v>
      </c>
      <c r="O67" s="58" t="s">
        <v>29</v>
      </c>
    </row>
    <row r="68" spans="2:15" x14ac:dyDescent="0.3">
      <c r="B68" s="43" t="s">
        <v>240</v>
      </c>
      <c r="C68" s="45"/>
      <c r="D68" s="41" t="s">
        <v>109</v>
      </c>
      <c r="E68" s="41"/>
      <c r="F68" s="42"/>
      <c r="G68" s="31">
        <v>0.79800000000000004</v>
      </c>
      <c r="H68" s="3">
        <v>800</v>
      </c>
      <c r="I68" s="6">
        <f t="shared" si="3"/>
        <v>638.40000000000009</v>
      </c>
      <c r="J68" s="8" t="s">
        <v>18</v>
      </c>
      <c r="K68" s="6">
        <v>0</v>
      </c>
      <c r="L68" s="58" t="s">
        <v>28</v>
      </c>
      <c r="M68" s="58" t="s">
        <v>28</v>
      </c>
      <c r="N68" s="58" t="s">
        <v>28</v>
      </c>
      <c r="O68" s="58" t="s">
        <v>28</v>
      </c>
    </row>
    <row r="69" spans="2:15" x14ac:dyDescent="0.3">
      <c r="B69" s="43" t="s">
        <v>241</v>
      </c>
      <c r="C69" s="45"/>
      <c r="D69" s="41" t="s">
        <v>110</v>
      </c>
      <c r="E69" s="41"/>
      <c r="F69" s="42"/>
      <c r="G69" s="31">
        <v>1.9950000000000001</v>
      </c>
      <c r="H69" s="3">
        <v>300</v>
      </c>
      <c r="I69" s="6">
        <f t="shared" si="3"/>
        <v>598.5</v>
      </c>
      <c r="J69" s="8" t="s">
        <v>18</v>
      </c>
      <c r="K69" s="6">
        <v>0</v>
      </c>
      <c r="L69" s="58" t="s">
        <v>26</v>
      </c>
      <c r="M69" s="58" t="s">
        <v>26</v>
      </c>
      <c r="N69" s="58" t="s">
        <v>26</v>
      </c>
      <c r="O69" s="58" t="s">
        <v>26</v>
      </c>
    </row>
    <row r="70" spans="2:15" x14ac:dyDescent="0.3">
      <c r="B70" s="43" t="s">
        <v>242</v>
      </c>
      <c r="C70" s="45"/>
      <c r="D70" s="41" t="s">
        <v>111</v>
      </c>
      <c r="E70" s="41"/>
      <c r="F70" s="42"/>
      <c r="G70" s="31">
        <v>9.9890000000000007E-2</v>
      </c>
      <c r="H70" s="3">
        <v>1000</v>
      </c>
      <c r="I70" s="6">
        <f t="shared" si="3"/>
        <v>99.89</v>
      </c>
      <c r="J70" s="8" t="s">
        <v>18</v>
      </c>
      <c r="K70" s="6">
        <v>0</v>
      </c>
      <c r="L70" s="58" t="s">
        <v>32</v>
      </c>
      <c r="M70" s="58" t="s">
        <v>32</v>
      </c>
      <c r="N70" s="58" t="s">
        <v>32</v>
      </c>
      <c r="O70" s="58" t="s">
        <v>32</v>
      </c>
    </row>
    <row r="71" spans="2:15" x14ac:dyDescent="0.3">
      <c r="B71" s="43" t="s">
        <v>243</v>
      </c>
      <c r="C71" s="45"/>
      <c r="D71" s="41" t="s">
        <v>114</v>
      </c>
      <c r="E71" s="41"/>
      <c r="F71" s="42"/>
      <c r="G71" s="31">
        <v>9.8900000000000002E-2</v>
      </c>
      <c r="H71" s="3">
        <v>1000</v>
      </c>
      <c r="I71" s="6">
        <f t="shared" si="3"/>
        <v>98.9</v>
      </c>
      <c r="J71" s="8" t="s">
        <v>18</v>
      </c>
      <c r="K71" s="6">
        <v>0</v>
      </c>
      <c r="L71" s="58" t="s">
        <v>33</v>
      </c>
      <c r="M71" s="58" t="s">
        <v>33</v>
      </c>
      <c r="N71" s="58" t="s">
        <v>33</v>
      </c>
      <c r="O71" s="58" t="s">
        <v>33</v>
      </c>
    </row>
    <row r="72" spans="2:15" x14ac:dyDescent="0.3">
      <c r="B72" s="43" t="s">
        <v>244</v>
      </c>
      <c r="C72" s="44"/>
      <c r="D72" s="41" t="s">
        <v>112</v>
      </c>
      <c r="E72" s="41"/>
      <c r="F72" s="42"/>
      <c r="G72" s="31">
        <v>9.9890000000000007E-2</v>
      </c>
      <c r="H72" s="3">
        <v>2000</v>
      </c>
      <c r="I72" s="6">
        <f t="shared" si="3"/>
        <v>199.78</v>
      </c>
      <c r="J72" s="8" t="s">
        <v>18</v>
      </c>
      <c r="K72" s="6">
        <v>0</v>
      </c>
      <c r="L72" s="58" t="s">
        <v>27</v>
      </c>
      <c r="M72" s="58" t="s">
        <v>27</v>
      </c>
      <c r="N72" s="58" t="s">
        <v>27</v>
      </c>
      <c r="O72" s="58" t="s">
        <v>27</v>
      </c>
    </row>
    <row r="74" spans="2:15" x14ac:dyDescent="0.3">
      <c r="B74" s="96" t="s">
        <v>120</v>
      </c>
      <c r="C74" s="96"/>
      <c r="D74" s="96"/>
      <c r="E74" s="96"/>
      <c r="F74" s="96"/>
      <c r="G74" s="97" t="s">
        <v>126</v>
      </c>
      <c r="H74" s="97" t="s">
        <v>125</v>
      </c>
      <c r="I74" s="97" t="s">
        <v>121</v>
      </c>
      <c r="J74" s="98" t="s">
        <v>124</v>
      </c>
      <c r="K74" s="99"/>
    </row>
    <row r="75" spans="2:15" ht="28.8" customHeight="1" x14ac:dyDescent="0.3">
      <c r="B75" s="60" t="s">
        <v>53</v>
      </c>
      <c r="C75" s="60"/>
      <c r="D75" s="60"/>
      <c r="E75" s="60"/>
      <c r="F75" s="60"/>
      <c r="G75" s="46">
        <v>450</v>
      </c>
      <c r="H75" s="47" t="s">
        <v>123</v>
      </c>
      <c r="I75" s="25" t="s">
        <v>122</v>
      </c>
      <c r="J75" s="54">
        <f>G75*77</f>
        <v>34650</v>
      </c>
      <c r="K75" s="55"/>
    </row>
    <row r="76" spans="2:15" x14ac:dyDescent="0.3">
      <c r="B76" s="61" t="s">
        <v>119</v>
      </c>
      <c r="C76" s="61"/>
      <c r="D76" s="61"/>
      <c r="E76" s="61"/>
      <c r="F76" s="61"/>
      <c r="G76" s="38">
        <v>18.32</v>
      </c>
      <c r="H76" s="48" t="s">
        <v>34</v>
      </c>
      <c r="I76" s="26">
        <v>21705</v>
      </c>
      <c r="J76" s="56">
        <f>G76*I76</f>
        <v>397635.60000000003</v>
      </c>
      <c r="K76" s="57"/>
    </row>
    <row r="77" spans="2:15" x14ac:dyDescent="0.3">
      <c r="B77" s="100" t="s">
        <v>136</v>
      </c>
      <c r="C77" s="100"/>
      <c r="D77" s="100"/>
      <c r="E77" s="100"/>
      <c r="F77" s="100"/>
      <c r="G77" s="100"/>
      <c r="H77" s="100"/>
      <c r="I77" s="100"/>
      <c r="J77" s="101">
        <f>SUM(J75:K76)</f>
        <v>432285.60000000003</v>
      </c>
      <c r="K77" s="102"/>
    </row>
    <row r="79" spans="2:15" x14ac:dyDescent="0.3">
      <c r="B79" s="100" t="s">
        <v>115</v>
      </c>
      <c r="C79" s="100"/>
      <c r="D79" s="100"/>
      <c r="E79" s="100"/>
      <c r="F79" s="100"/>
      <c r="G79" s="103">
        <f>SUM(I9:I72)</f>
        <v>342534.50000000017</v>
      </c>
      <c r="H79" s="104"/>
      <c r="I79" s="104"/>
      <c r="J79" s="104"/>
      <c r="K79" s="105"/>
    </row>
    <row r="80" spans="2:15" x14ac:dyDescent="0.3">
      <c r="B80" s="62" t="s">
        <v>116</v>
      </c>
      <c r="C80" s="62"/>
      <c r="D80" s="62"/>
      <c r="E80" s="62"/>
      <c r="F80" s="62"/>
      <c r="G80" s="51">
        <f>SUM(K9:K72)</f>
        <v>86191.87523809525</v>
      </c>
      <c r="H80" s="52"/>
      <c r="I80" s="52"/>
      <c r="J80" s="52"/>
      <c r="K80" s="53"/>
    </row>
    <row r="81" spans="2:11" x14ac:dyDescent="0.3">
      <c r="B81" s="62" t="s">
        <v>117</v>
      </c>
      <c r="C81" s="62"/>
      <c r="D81" s="62"/>
      <c r="E81" s="62"/>
      <c r="F81" s="62"/>
      <c r="G81" s="51">
        <f>J75+J76</f>
        <v>432285.60000000003</v>
      </c>
      <c r="H81" s="52"/>
      <c r="I81" s="52"/>
      <c r="J81" s="52"/>
      <c r="K81" s="53"/>
    </row>
    <row r="82" spans="2:11" x14ac:dyDescent="0.3">
      <c r="B82" s="100" t="s">
        <v>118</v>
      </c>
      <c r="C82" s="100"/>
      <c r="D82" s="100"/>
      <c r="E82" s="100"/>
      <c r="F82" s="100"/>
      <c r="G82" s="103">
        <f>G80+G81</f>
        <v>518477.47523809527</v>
      </c>
      <c r="H82" s="104"/>
      <c r="I82" s="104"/>
      <c r="J82" s="104"/>
      <c r="K82" s="105"/>
    </row>
  </sheetData>
  <mergeCells count="139">
    <mergeCell ref="B82:F82"/>
    <mergeCell ref="B75:F75"/>
    <mergeCell ref="B76:F76"/>
    <mergeCell ref="B80:F80"/>
    <mergeCell ref="B81:F81"/>
    <mergeCell ref="L72:O72"/>
    <mergeCell ref="L63:O63"/>
    <mergeCell ref="C63:F63"/>
    <mergeCell ref="B74:F74"/>
    <mergeCell ref="L67:O67"/>
    <mergeCell ref="L68:O68"/>
    <mergeCell ref="L69:O69"/>
    <mergeCell ref="L70:O70"/>
    <mergeCell ref="L71:O71"/>
    <mergeCell ref="G81:K81"/>
    <mergeCell ref="G82:K82"/>
    <mergeCell ref="L61:O61"/>
    <mergeCell ref="L62:O62"/>
    <mergeCell ref="L64:O64"/>
    <mergeCell ref="L65:O65"/>
    <mergeCell ref="L66:O66"/>
    <mergeCell ref="L56:O56"/>
    <mergeCell ref="L57:O57"/>
    <mergeCell ref="L58:O58"/>
    <mergeCell ref="L59:O59"/>
    <mergeCell ref="L60:O60"/>
    <mergeCell ref="L51:O51"/>
    <mergeCell ref="L52:O52"/>
    <mergeCell ref="L53:O53"/>
    <mergeCell ref="L54:O54"/>
    <mergeCell ref="L55:O55"/>
    <mergeCell ref="L46:O46"/>
    <mergeCell ref="L47:O47"/>
    <mergeCell ref="L48:O48"/>
    <mergeCell ref="L49:O49"/>
    <mergeCell ref="L50:O50"/>
    <mergeCell ref="L41:O41"/>
    <mergeCell ref="L42:O42"/>
    <mergeCell ref="L43:O43"/>
    <mergeCell ref="L44:O44"/>
    <mergeCell ref="L45:O45"/>
    <mergeCell ref="L36:O36"/>
    <mergeCell ref="L37:O37"/>
    <mergeCell ref="L38:O38"/>
    <mergeCell ref="L39:O39"/>
    <mergeCell ref="L40:O40"/>
    <mergeCell ref="L31:O31"/>
    <mergeCell ref="L32:O32"/>
    <mergeCell ref="L33:O33"/>
    <mergeCell ref="L34:O34"/>
    <mergeCell ref="L35:O35"/>
    <mergeCell ref="L26:O26"/>
    <mergeCell ref="L27:O27"/>
    <mergeCell ref="L28:O28"/>
    <mergeCell ref="L29:O29"/>
    <mergeCell ref="L30:O30"/>
    <mergeCell ref="L21:O21"/>
    <mergeCell ref="L22:O22"/>
    <mergeCell ref="L23:O23"/>
    <mergeCell ref="L24:O24"/>
    <mergeCell ref="L25:O25"/>
    <mergeCell ref="L16:O16"/>
    <mergeCell ref="L17:O17"/>
    <mergeCell ref="L18:O18"/>
    <mergeCell ref="L19:O19"/>
    <mergeCell ref="L20:O20"/>
    <mergeCell ref="L11:O11"/>
    <mergeCell ref="L12:O12"/>
    <mergeCell ref="L13:O13"/>
    <mergeCell ref="L14:O14"/>
    <mergeCell ref="L15:O15"/>
    <mergeCell ref="L6:O6"/>
    <mergeCell ref="L7:O7"/>
    <mergeCell ref="L8:O8"/>
    <mergeCell ref="L9:O9"/>
    <mergeCell ref="L10:O10"/>
    <mergeCell ref="L2:O2"/>
    <mergeCell ref="L3:O3"/>
    <mergeCell ref="L4:O4"/>
    <mergeCell ref="L5:O5"/>
    <mergeCell ref="J74:K74"/>
    <mergeCell ref="G80:K80"/>
    <mergeCell ref="J75:K75"/>
    <mergeCell ref="J76:K76"/>
    <mergeCell ref="J77:K77"/>
    <mergeCell ref="G79:K79"/>
    <mergeCell ref="B77:I77"/>
    <mergeCell ref="B79:F79"/>
    <mergeCell ref="D59:F59"/>
    <mergeCell ref="D60:F60"/>
    <mergeCell ref="D62:F62"/>
    <mergeCell ref="D58:F58"/>
    <mergeCell ref="D45:F45"/>
    <mergeCell ref="D46:F46"/>
    <mergeCell ref="D47:F47"/>
    <mergeCell ref="D48:F48"/>
    <mergeCell ref="C49:F49"/>
    <mergeCell ref="D51:F51"/>
    <mergeCell ref="D52:F52"/>
    <mergeCell ref="D53:F53"/>
    <mergeCell ref="D54:F54"/>
    <mergeCell ref="D55:F55"/>
    <mergeCell ref="D57:F57"/>
    <mergeCell ref="D44:F44"/>
    <mergeCell ref="D29:F29"/>
    <mergeCell ref="D30:F30"/>
    <mergeCell ref="D32:F32"/>
    <mergeCell ref="D33:F33"/>
    <mergeCell ref="D34:F34"/>
    <mergeCell ref="D35:F35"/>
    <mergeCell ref="D37:F37"/>
    <mergeCell ref="D38:F38"/>
    <mergeCell ref="D39:F39"/>
    <mergeCell ref="D40:F40"/>
    <mergeCell ref="D43:F43"/>
    <mergeCell ref="D28:F28"/>
    <mergeCell ref="D16:F16"/>
    <mergeCell ref="C17:F17"/>
    <mergeCell ref="C18:F18"/>
    <mergeCell ref="C19:F19"/>
    <mergeCell ref="C20:F20"/>
    <mergeCell ref="C21:F21"/>
    <mergeCell ref="C22:F22"/>
    <mergeCell ref="C23:F23"/>
    <mergeCell ref="D25:F25"/>
    <mergeCell ref="D26:F26"/>
    <mergeCell ref="D27:F27"/>
    <mergeCell ref="D15:F15"/>
    <mergeCell ref="C2:F2"/>
    <mergeCell ref="C3:F3"/>
    <mergeCell ref="C4:F4"/>
    <mergeCell ref="D6:F6"/>
    <mergeCell ref="C7:F7"/>
    <mergeCell ref="C8:F8"/>
    <mergeCell ref="D10:F10"/>
    <mergeCell ref="D11:F11"/>
    <mergeCell ref="D12:F12"/>
    <mergeCell ref="D13:F13"/>
    <mergeCell ref="D14:F14"/>
  </mergeCells>
  <hyperlinks>
    <hyperlink ref="L6" r:id="rId1" xr:uid="{00000000-0004-0000-0100-000000000000}"/>
    <hyperlink ref="L7" r:id="rId2" xr:uid="{00000000-0004-0000-0100-000001000000}"/>
    <hyperlink ref="L8" r:id="rId3" xr:uid="{00000000-0004-0000-0100-000002000000}"/>
    <hyperlink ref="L49" r:id="rId4" xr:uid="{00000000-0004-0000-0100-000003000000}"/>
  </hyperlinks>
  <pageMargins left="0.7" right="0.7" top="0.75" bottom="0.75" header="0.3" footer="0.3"/>
  <pageSetup paperSize="9" orientation="portrait" r:id="rId5"/>
  <ignoredErrors>
    <ignoredError sqref="B17:B24 B6:B16 B61 B56 B49:B50 B42 B36 B31 B25:B30 B32:B35 B37:B41 B43:B48 B51:B55 B57:B60 B62:B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7"/>
  <sheetViews>
    <sheetView workbookViewId="0">
      <selection activeCell="M10" sqref="M10"/>
    </sheetView>
  </sheetViews>
  <sheetFormatPr defaultRowHeight="14.4" x14ac:dyDescent="0.3"/>
  <cols>
    <col min="2" max="2" width="10.77734375" customWidth="1"/>
    <col min="3" max="4" width="13.77734375" customWidth="1"/>
    <col min="5" max="5" width="15.77734375" customWidth="1"/>
    <col min="6" max="6" width="18.5546875" bestFit="1" customWidth="1"/>
  </cols>
  <sheetData>
    <row r="2" spans="2:6" ht="28.8" x14ac:dyDescent="0.3">
      <c r="B2" s="67" t="s">
        <v>166</v>
      </c>
      <c r="C2" s="66" t="s">
        <v>158</v>
      </c>
      <c r="D2" s="66" t="s">
        <v>159</v>
      </c>
      <c r="E2" s="66" t="s">
        <v>160</v>
      </c>
      <c r="F2" s="66" t="s">
        <v>161</v>
      </c>
    </row>
    <row r="3" spans="2:6" x14ac:dyDescent="0.3">
      <c r="B3" s="72" t="s">
        <v>162</v>
      </c>
      <c r="C3" s="37">
        <v>31</v>
      </c>
      <c r="D3" s="37" t="s">
        <v>167</v>
      </c>
      <c r="E3" s="37">
        <v>15</v>
      </c>
      <c r="F3" s="37">
        <f>E3*20</f>
        <v>300</v>
      </c>
    </row>
    <row r="4" spans="2:6" x14ac:dyDescent="0.3">
      <c r="B4" s="72" t="s">
        <v>163</v>
      </c>
      <c r="C4" s="37">
        <v>30</v>
      </c>
      <c r="D4" s="37" t="s">
        <v>168</v>
      </c>
      <c r="E4" s="37">
        <v>20</v>
      </c>
      <c r="F4" s="37">
        <f t="shared" ref="F4:F6" si="0">E4*20</f>
        <v>400</v>
      </c>
    </row>
    <row r="5" spans="2:6" x14ac:dyDescent="0.3">
      <c r="B5" s="72" t="s">
        <v>164</v>
      </c>
      <c r="C5" s="37">
        <v>31</v>
      </c>
      <c r="D5" s="37" t="s">
        <v>168</v>
      </c>
      <c r="E5" s="37">
        <v>21</v>
      </c>
      <c r="F5" s="37">
        <f t="shared" si="0"/>
        <v>420</v>
      </c>
    </row>
    <row r="6" spans="2:6" x14ac:dyDescent="0.3">
      <c r="B6" s="72" t="s">
        <v>165</v>
      </c>
      <c r="C6" s="37">
        <v>31</v>
      </c>
      <c r="D6" s="37" t="s">
        <v>168</v>
      </c>
      <c r="E6" s="37">
        <v>21</v>
      </c>
      <c r="F6" s="37">
        <f t="shared" si="0"/>
        <v>420</v>
      </c>
    </row>
    <row r="7" spans="2:6" x14ac:dyDescent="0.3">
      <c r="B7" s="123" t="s">
        <v>136</v>
      </c>
      <c r="C7" s="124">
        <f>SUM(C3:C6)</f>
        <v>123</v>
      </c>
      <c r="D7" s="113"/>
      <c r="E7" s="124">
        <f>SUM(E3:E6)</f>
        <v>77</v>
      </c>
      <c r="F7" s="124">
        <f>SUM(F3:F6)</f>
        <v>1540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S32"/>
  <sheetViews>
    <sheetView showGridLines="0" zoomScaleNormal="100" workbookViewId="0">
      <selection activeCell="G22" sqref="G22"/>
    </sheetView>
  </sheetViews>
  <sheetFormatPr defaultRowHeight="14.4" x14ac:dyDescent="0.3"/>
  <cols>
    <col min="2" max="2" width="16.5546875" customWidth="1"/>
    <col min="3" max="6" width="18.77734375" customWidth="1"/>
    <col min="7" max="7" width="9.6640625" bestFit="1" customWidth="1"/>
    <col min="8" max="8" width="14.6640625" bestFit="1" customWidth="1"/>
    <col min="9" max="9" width="9.109375" bestFit="1" customWidth="1"/>
    <col min="10" max="10" width="10.33203125" bestFit="1" customWidth="1"/>
    <col min="11" max="11" width="12.109375" customWidth="1"/>
    <col min="12" max="12" width="10" bestFit="1" customWidth="1"/>
    <col min="13" max="13" width="11.21875" bestFit="1" customWidth="1"/>
    <col min="15" max="15" width="0" hidden="1" customWidth="1"/>
  </cols>
  <sheetData>
    <row r="2" spans="2:19" ht="28.8" x14ac:dyDescent="0.3">
      <c r="B2" s="106"/>
      <c r="C2" s="66" t="s">
        <v>137</v>
      </c>
      <c r="D2" s="66" t="s">
        <v>138</v>
      </c>
      <c r="E2" s="66" t="s">
        <v>139</v>
      </c>
      <c r="F2" s="66" t="s">
        <v>140</v>
      </c>
      <c r="G2" s="66" t="s">
        <v>141</v>
      </c>
      <c r="H2" s="66" t="s">
        <v>142</v>
      </c>
      <c r="I2" s="66" t="s">
        <v>143</v>
      </c>
      <c r="J2" s="66" t="s">
        <v>144</v>
      </c>
      <c r="K2" s="66" t="s">
        <v>145</v>
      </c>
      <c r="L2" s="66" t="s">
        <v>146</v>
      </c>
      <c r="M2" s="66" t="s">
        <v>147</v>
      </c>
    </row>
    <row r="3" spans="2:19" ht="28.8" customHeight="1" x14ac:dyDescent="0.3">
      <c r="B3" s="117" t="s">
        <v>127</v>
      </c>
      <c r="C3" s="34">
        <v>0.3</v>
      </c>
      <c r="D3" s="35" t="s">
        <v>40</v>
      </c>
      <c r="E3" s="35">
        <v>0.51</v>
      </c>
      <c r="F3" s="35">
        <v>3.5</v>
      </c>
      <c r="G3" s="35">
        <v>0.2</v>
      </c>
      <c r="H3" s="35">
        <f>F3*(1-G3)</f>
        <v>2.8000000000000003</v>
      </c>
      <c r="I3" s="35">
        <f>H3/E3</f>
        <v>5.4901960784313726</v>
      </c>
      <c r="J3" s="34">
        <f>C3</f>
        <v>0.3</v>
      </c>
      <c r="K3" s="13">
        <f>J3*4000</f>
        <v>1200</v>
      </c>
      <c r="L3" s="13">
        <f>K3/E3</f>
        <v>2352.9411764705883</v>
      </c>
      <c r="M3" s="13">
        <f>K3*I3</f>
        <v>6588.2352941176468</v>
      </c>
      <c r="O3">
        <f>C3/I3</f>
        <v>5.4642857142857139E-2</v>
      </c>
      <c r="P3" s="21"/>
      <c r="S3" t="s">
        <v>47</v>
      </c>
    </row>
    <row r="4" spans="2:19" ht="28.8" customHeight="1" x14ac:dyDescent="0.3">
      <c r="B4" s="117" t="s">
        <v>128</v>
      </c>
      <c r="C4" s="34">
        <v>0.15</v>
      </c>
      <c r="D4" s="35" t="s">
        <v>38</v>
      </c>
      <c r="E4" s="35">
        <v>0.6</v>
      </c>
      <c r="F4" s="35">
        <v>4</v>
      </c>
      <c r="G4" s="35">
        <v>0.2</v>
      </c>
      <c r="H4" s="35">
        <f t="shared" ref="H4:H11" si="0">F4*(1-G4)</f>
        <v>3.2</v>
      </c>
      <c r="I4" s="35">
        <f t="shared" ref="I4:I11" si="1">H4/E4</f>
        <v>5.3333333333333339</v>
      </c>
      <c r="J4" s="34">
        <f t="shared" ref="J4:J11" si="2">C4</f>
        <v>0.15</v>
      </c>
      <c r="K4" s="13">
        <f t="shared" ref="K4:K10" si="3">J4*4000</f>
        <v>600</v>
      </c>
      <c r="L4" s="13">
        <f t="shared" ref="L4:L11" si="4">K4/E4</f>
        <v>1000</v>
      </c>
      <c r="M4" s="13">
        <f t="shared" ref="M4:M11" si="5">K4*I4</f>
        <v>3200.0000000000005</v>
      </c>
      <c r="O4">
        <f t="shared" ref="O4:O10" si="6">C4/I4</f>
        <v>2.8124999999999997E-2</v>
      </c>
      <c r="P4" s="21"/>
    </row>
    <row r="5" spans="2:19" ht="28.8" customHeight="1" x14ac:dyDescent="0.3">
      <c r="B5" s="117" t="s">
        <v>129</v>
      </c>
      <c r="C5" s="34">
        <v>0.15</v>
      </c>
      <c r="D5" s="35" t="s">
        <v>39</v>
      </c>
      <c r="E5" s="35">
        <v>0.29249999999999998</v>
      </c>
      <c r="F5" s="35">
        <v>1.5</v>
      </c>
      <c r="G5" s="35">
        <v>0.2</v>
      </c>
      <c r="H5" s="35">
        <f t="shared" si="0"/>
        <v>1.2000000000000002</v>
      </c>
      <c r="I5" s="35">
        <f t="shared" si="1"/>
        <v>4.1025641025641031</v>
      </c>
      <c r="J5" s="34">
        <f t="shared" si="2"/>
        <v>0.15</v>
      </c>
      <c r="K5" s="13">
        <f t="shared" si="3"/>
        <v>600</v>
      </c>
      <c r="L5" s="13">
        <f t="shared" si="4"/>
        <v>2051.2820512820513</v>
      </c>
      <c r="M5" s="13">
        <f t="shared" si="5"/>
        <v>2461.5384615384619</v>
      </c>
      <c r="O5">
        <f t="shared" si="6"/>
        <v>3.6562499999999991E-2</v>
      </c>
      <c r="P5" s="21"/>
    </row>
    <row r="6" spans="2:19" ht="28.8" customHeight="1" x14ac:dyDescent="0.3">
      <c r="B6" s="117" t="s">
        <v>130</v>
      </c>
      <c r="C6" s="34">
        <v>0.1</v>
      </c>
      <c r="D6" s="35" t="s">
        <v>41</v>
      </c>
      <c r="E6" s="35">
        <v>0.58499999999999996</v>
      </c>
      <c r="F6" s="35">
        <v>4</v>
      </c>
      <c r="G6" s="35">
        <v>0.2</v>
      </c>
      <c r="H6" s="35">
        <f t="shared" si="0"/>
        <v>3.2</v>
      </c>
      <c r="I6" s="35">
        <f t="shared" si="1"/>
        <v>5.4700854700854711</v>
      </c>
      <c r="J6" s="34">
        <f t="shared" si="2"/>
        <v>0.1</v>
      </c>
      <c r="K6" s="13">
        <f>J6*4000</f>
        <v>400</v>
      </c>
      <c r="L6" s="13">
        <f t="shared" si="4"/>
        <v>683.76068376068383</v>
      </c>
      <c r="M6" s="13">
        <f t="shared" si="5"/>
        <v>2188.0341880341884</v>
      </c>
      <c r="O6">
        <f>C6/I6</f>
        <v>1.8281249999999999E-2</v>
      </c>
      <c r="P6" s="21"/>
    </row>
    <row r="7" spans="2:19" ht="28.8" customHeight="1" x14ac:dyDescent="0.3">
      <c r="B7" s="117" t="s">
        <v>131</v>
      </c>
      <c r="C7" s="34">
        <v>0.1</v>
      </c>
      <c r="D7" s="35" t="s">
        <v>42</v>
      </c>
      <c r="E7" s="35">
        <v>0.09</v>
      </c>
      <c r="F7" s="35">
        <v>1.5</v>
      </c>
      <c r="G7" s="35">
        <v>0.2</v>
      </c>
      <c r="H7" s="35">
        <f t="shared" si="0"/>
        <v>1.2000000000000002</v>
      </c>
      <c r="I7" s="35">
        <f t="shared" si="1"/>
        <v>13.333333333333336</v>
      </c>
      <c r="J7" s="34">
        <f t="shared" si="2"/>
        <v>0.1</v>
      </c>
      <c r="K7" s="13">
        <f t="shared" si="3"/>
        <v>400</v>
      </c>
      <c r="L7" s="13">
        <f t="shared" si="4"/>
        <v>4444.4444444444443</v>
      </c>
      <c r="M7" s="13">
        <f t="shared" si="5"/>
        <v>5333.3333333333339</v>
      </c>
      <c r="O7">
        <f t="shared" si="6"/>
        <v>7.4999999999999989E-3</v>
      </c>
      <c r="P7" s="21"/>
    </row>
    <row r="8" spans="2:19" ht="28.8" customHeight="1" x14ac:dyDescent="0.3">
      <c r="B8" s="117" t="s">
        <v>132</v>
      </c>
      <c r="C8" s="34">
        <v>0.05</v>
      </c>
      <c r="D8" s="35" t="s">
        <v>43</v>
      </c>
      <c r="E8" s="35">
        <v>1.21</v>
      </c>
      <c r="F8" s="35">
        <v>3</v>
      </c>
      <c r="G8" s="35">
        <v>0.2</v>
      </c>
      <c r="H8" s="35">
        <f t="shared" si="0"/>
        <v>2.4000000000000004</v>
      </c>
      <c r="I8" s="35">
        <f t="shared" si="1"/>
        <v>1.9834710743801656</v>
      </c>
      <c r="J8" s="34">
        <f t="shared" si="2"/>
        <v>0.05</v>
      </c>
      <c r="K8" s="13">
        <f t="shared" si="3"/>
        <v>200</v>
      </c>
      <c r="L8" s="13">
        <f t="shared" si="4"/>
        <v>165.28925619834712</v>
      </c>
      <c r="M8" s="13">
        <f t="shared" si="5"/>
        <v>396.69421487603313</v>
      </c>
      <c r="O8">
        <f t="shared" si="6"/>
        <v>2.5208333333333333E-2</v>
      </c>
      <c r="P8" s="21"/>
    </row>
    <row r="9" spans="2:19" ht="28.8" customHeight="1" x14ac:dyDescent="0.3">
      <c r="B9" s="118" t="s">
        <v>133</v>
      </c>
      <c r="C9" s="34">
        <v>0.05</v>
      </c>
      <c r="D9" s="35" t="s">
        <v>44</v>
      </c>
      <c r="E9" s="35">
        <v>0.41249999999999998</v>
      </c>
      <c r="F9" s="35">
        <v>2</v>
      </c>
      <c r="G9" s="35">
        <v>0.2</v>
      </c>
      <c r="H9" s="35">
        <f t="shared" si="0"/>
        <v>1.6</v>
      </c>
      <c r="I9" s="35">
        <f t="shared" si="1"/>
        <v>3.8787878787878793</v>
      </c>
      <c r="J9" s="34">
        <f t="shared" si="2"/>
        <v>0.05</v>
      </c>
      <c r="K9" s="13">
        <f>J9*4000</f>
        <v>200</v>
      </c>
      <c r="L9" s="13">
        <f t="shared" si="4"/>
        <v>484.84848484848487</v>
      </c>
      <c r="M9" s="13">
        <f t="shared" si="5"/>
        <v>775.75757575757586</v>
      </c>
      <c r="O9">
        <f>C9/I9</f>
        <v>1.2890624999999999E-2</v>
      </c>
      <c r="P9" s="21"/>
    </row>
    <row r="10" spans="2:19" ht="28.8" customHeight="1" x14ac:dyDescent="0.3">
      <c r="B10" s="117" t="s">
        <v>134</v>
      </c>
      <c r="C10" s="34">
        <v>0.05</v>
      </c>
      <c r="D10" s="35" t="s">
        <v>45</v>
      </c>
      <c r="E10" s="35">
        <v>1.35</v>
      </c>
      <c r="F10" s="35">
        <v>3</v>
      </c>
      <c r="G10" s="35">
        <v>0.2</v>
      </c>
      <c r="H10" s="35">
        <f t="shared" si="0"/>
        <v>2.4000000000000004</v>
      </c>
      <c r="I10" s="35">
        <f t="shared" si="1"/>
        <v>1.7777777777777779</v>
      </c>
      <c r="J10" s="34">
        <f t="shared" si="2"/>
        <v>0.05</v>
      </c>
      <c r="K10" s="13">
        <f t="shared" si="3"/>
        <v>200</v>
      </c>
      <c r="L10" s="13">
        <f t="shared" si="4"/>
        <v>148.14814814814815</v>
      </c>
      <c r="M10" s="13">
        <f t="shared" si="5"/>
        <v>355.5555555555556</v>
      </c>
      <c r="O10">
        <f t="shared" si="6"/>
        <v>2.8125000000000001E-2</v>
      </c>
      <c r="P10" s="21"/>
    </row>
    <row r="11" spans="2:19" ht="28.8" customHeight="1" x14ac:dyDescent="0.3">
      <c r="B11" s="117" t="s">
        <v>135</v>
      </c>
      <c r="C11" s="34">
        <v>0.05</v>
      </c>
      <c r="D11" s="35" t="s">
        <v>46</v>
      </c>
      <c r="E11" s="35">
        <v>0.315</v>
      </c>
      <c r="F11" s="35">
        <v>0.8</v>
      </c>
      <c r="G11" s="35">
        <v>0.2</v>
      </c>
      <c r="H11" s="35">
        <f t="shared" si="0"/>
        <v>0.64000000000000012</v>
      </c>
      <c r="I11" s="35">
        <f t="shared" si="1"/>
        <v>2.0317460317460321</v>
      </c>
      <c r="J11" s="34">
        <f t="shared" si="2"/>
        <v>0.05</v>
      </c>
      <c r="K11" s="13">
        <f>J11*4000</f>
        <v>200</v>
      </c>
      <c r="L11" s="13">
        <f t="shared" si="4"/>
        <v>634.92063492063494</v>
      </c>
      <c r="M11" s="13">
        <f t="shared" si="5"/>
        <v>406.34920634920644</v>
      </c>
      <c r="O11">
        <f>C11/I11</f>
        <v>2.4609374999999996E-2</v>
      </c>
      <c r="P11" s="21"/>
    </row>
    <row r="12" spans="2:19" ht="28.8" customHeight="1" x14ac:dyDescent="0.3">
      <c r="B12" s="67" t="s">
        <v>136</v>
      </c>
      <c r="C12" s="112">
        <f>SUM(C3:C11)</f>
        <v>1</v>
      </c>
      <c r="D12" s="107"/>
      <c r="E12" s="108"/>
      <c r="F12" s="108"/>
      <c r="G12" s="108"/>
      <c r="H12" s="108"/>
      <c r="I12" s="109"/>
      <c r="J12" s="110">
        <f>SUM(J3:J11)</f>
        <v>1</v>
      </c>
      <c r="K12" s="111">
        <f>SUM(K3:K11)</f>
        <v>4000</v>
      </c>
      <c r="L12" s="111"/>
      <c r="M12" s="125">
        <f>SUM(M3:M11)</f>
        <v>21705.497829561995</v>
      </c>
      <c r="O12" s="11">
        <f>SUM(O3:O11)</f>
        <v>0.23594494047619047</v>
      </c>
    </row>
    <row r="13" spans="2:19" s="19" customFormat="1" ht="7.95" customHeight="1" x14ac:dyDescent="0.3">
      <c r="B13" s="14"/>
      <c r="C13" s="15"/>
      <c r="D13" s="16"/>
      <c r="E13" s="16"/>
      <c r="F13" s="16"/>
      <c r="G13" s="16"/>
      <c r="H13" s="16"/>
      <c r="I13" s="16"/>
      <c r="J13" s="17"/>
      <c r="K13" s="18"/>
      <c r="L13" s="18"/>
      <c r="M13" s="18"/>
      <c r="O13" s="20"/>
    </row>
    <row r="14" spans="2:19" x14ac:dyDescent="0.3">
      <c r="B14" s="63" t="s">
        <v>148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</row>
    <row r="16" spans="2:19" ht="30.6" customHeight="1" x14ac:dyDescent="0.3">
      <c r="B16" s="113"/>
      <c r="C16" s="114" t="s">
        <v>157</v>
      </c>
      <c r="D16" s="114" t="s">
        <v>156</v>
      </c>
      <c r="E16" s="114" t="s">
        <v>155</v>
      </c>
      <c r="F16" s="114" t="s">
        <v>154</v>
      </c>
      <c r="G16" s="23"/>
      <c r="H16" s="23"/>
      <c r="L16" s="12"/>
      <c r="M16" s="12"/>
      <c r="N16" s="12"/>
    </row>
    <row r="17" spans="2:8" x14ac:dyDescent="0.3">
      <c r="B17" s="116" t="s">
        <v>35</v>
      </c>
      <c r="C17" s="34">
        <v>0.8</v>
      </c>
      <c r="D17" s="26">
        <v>54</v>
      </c>
      <c r="E17" s="119">
        <v>17500</v>
      </c>
      <c r="F17" s="36">
        <f>E17*D17</f>
        <v>945000</v>
      </c>
      <c r="G17" s="23"/>
      <c r="H17" s="23"/>
    </row>
    <row r="18" spans="2:8" x14ac:dyDescent="0.3">
      <c r="B18" s="116" t="s">
        <v>36</v>
      </c>
      <c r="C18" s="34">
        <v>0.2</v>
      </c>
      <c r="D18" s="26">
        <v>13</v>
      </c>
      <c r="E18" s="119">
        <v>30000</v>
      </c>
      <c r="F18" s="36">
        <f t="shared" ref="F18" si="7">E18*D18</f>
        <v>390000</v>
      </c>
      <c r="G18" s="23"/>
      <c r="H18" s="23"/>
    </row>
    <row r="19" spans="2:8" x14ac:dyDescent="0.3">
      <c r="B19" s="106" t="s">
        <v>136</v>
      </c>
      <c r="C19" s="112">
        <f>SUM(C17:C18)</f>
        <v>1</v>
      </c>
      <c r="D19" s="67">
        <f>SUM(D17:D18)</f>
        <v>67</v>
      </c>
      <c r="E19" s="67"/>
      <c r="F19" s="115">
        <f>SUM(F17:F18)</f>
        <v>1335000</v>
      </c>
      <c r="G19" s="24"/>
      <c r="H19" s="24"/>
    </row>
    <row r="22" spans="2:8" ht="37.799999999999997" customHeight="1" x14ac:dyDescent="0.3">
      <c r="B22" s="67" t="s">
        <v>37</v>
      </c>
      <c r="C22" s="67" t="s">
        <v>247</v>
      </c>
      <c r="D22" s="66" t="s">
        <v>246</v>
      </c>
    </row>
    <row r="23" spans="2:8" x14ac:dyDescent="0.3">
      <c r="B23" s="117" t="s">
        <v>127</v>
      </c>
      <c r="C23" s="5">
        <v>25</v>
      </c>
      <c r="D23" s="22">
        <f>(C23/E3)*H3</f>
        <v>137.25490196078431</v>
      </c>
      <c r="H23" s="10"/>
    </row>
    <row r="24" spans="2:8" x14ac:dyDescent="0.3">
      <c r="B24" s="117" t="s">
        <v>128</v>
      </c>
      <c r="C24" s="5">
        <v>10</v>
      </c>
      <c r="D24" s="22">
        <f>(C24/E4)*H4</f>
        <v>53.333333333333343</v>
      </c>
      <c r="H24" s="10"/>
    </row>
    <row r="25" spans="2:8" x14ac:dyDescent="0.3">
      <c r="B25" s="117" t="s">
        <v>129</v>
      </c>
      <c r="C25" s="5">
        <v>15</v>
      </c>
      <c r="D25" s="22">
        <f>(C25/E5)*H5</f>
        <v>61.538461538461547</v>
      </c>
    </row>
    <row r="26" spans="2:8" x14ac:dyDescent="0.3">
      <c r="B26" s="117" t="s">
        <v>130</v>
      </c>
      <c r="C26" s="5">
        <v>0</v>
      </c>
      <c r="D26" s="22">
        <f>(C26/E6)*H6</f>
        <v>0</v>
      </c>
    </row>
    <row r="27" spans="2:8" x14ac:dyDescent="0.3">
      <c r="B27" s="117" t="s">
        <v>131</v>
      </c>
      <c r="C27" s="5">
        <v>0</v>
      </c>
      <c r="D27" s="22">
        <f>(C27/E7)*H7</f>
        <v>0</v>
      </c>
    </row>
    <row r="28" spans="2:8" x14ac:dyDescent="0.3">
      <c r="B28" s="117" t="s">
        <v>132</v>
      </c>
      <c r="C28" s="5">
        <v>0</v>
      </c>
      <c r="D28" s="22">
        <f>(C28/E8)*H8</f>
        <v>0</v>
      </c>
    </row>
    <row r="29" spans="2:8" x14ac:dyDescent="0.3">
      <c r="B29" s="117" t="s">
        <v>133</v>
      </c>
      <c r="C29" s="5">
        <v>0</v>
      </c>
      <c r="D29" s="22">
        <f>(C29/E9)*H9</f>
        <v>0</v>
      </c>
    </row>
    <row r="30" spans="2:8" x14ac:dyDescent="0.3">
      <c r="B30" s="117" t="s">
        <v>134</v>
      </c>
      <c r="C30" s="5">
        <v>0</v>
      </c>
      <c r="D30" s="22">
        <f>(C30/E10)*H10</f>
        <v>0</v>
      </c>
    </row>
    <row r="31" spans="2:8" x14ac:dyDescent="0.3">
      <c r="B31" s="117" t="s">
        <v>135</v>
      </c>
      <c r="C31" s="5">
        <v>0</v>
      </c>
      <c r="D31" s="22">
        <f>(C31/E11)*H11</f>
        <v>0</v>
      </c>
    </row>
    <row r="32" spans="2:8" x14ac:dyDescent="0.3">
      <c r="B32" s="120" t="s">
        <v>136</v>
      </c>
      <c r="C32" s="121"/>
      <c r="D32" s="122">
        <f>SUM(D23:D31)</f>
        <v>252.1266968325792</v>
      </c>
    </row>
  </sheetData>
  <mergeCells count="2">
    <mergeCell ref="D12:I12"/>
    <mergeCell ref="B14:M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 Table</vt:lpstr>
      <vt:lpstr>Water Consumption</vt:lpstr>
      <vt:lpstr>Estimated Harvest and Turnover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2026-01-16T23:58:10Z</dcterms:modified>
</cp:coreProperties>
</file>